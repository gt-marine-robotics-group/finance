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gtvault.sharepoint.com/sites/MarineRoboticsGroup/Shared Documents/OPS-1 Operations/FY27 Finances/"/>
    </mc:Choice>
  </mc:AlternateContent>
  <xr:revisionPtr revIDLastSave="108" documentId="11_D6525CBEE418BCBEF3BC695435793974B174EB8E" xr6:coauthVersionLast="47" xr6:coauthVersionMax="47" xr10:uidLastSave="{3609FD21-9E1B-400C-9A4C-F5BAE2B888B1}"/>
  <bookViews>
    <workbookView xWindow="0" yWindow="660" windowWidth="29400" windowHeight="16900" xr2:uid="{00000000-000D-0000-FFFF-FFFF00000000}"/>
  </bookViews>
  <sheets>
    <sheet name="Bills" sheetId="1" r:id="rId1"/>
    <sheet name="Ordering" sheetId="2" r:id="rId2"/>
    <sheet name="Budget FY 27" sheetId="3" r:id="rId3"/>
    <sheet name="Budget" sheetId="4" state="hidden" r:id="rId4"/>
    <sheet name="Keys" sheetId="5" r:id="rId5"/>
    <sheet name="Tracking" sheetId="6" r:id="rId6"/>
    <sheet name="Authorized Spenders" sheetId="7" r:id="rId7"/>
    <sheet name="Item Backlog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A48" i="1"/>
  <c r="A49" i="1"/>
  <c r="K50" i="1"/>
  <c r="A50" i="1"/>
  <c r="D21" i="7"/>
  <c r="E21" i="7" s="1"/>
  <c r="C21" i="7"/>
  <c r="E20" i="7"/>
  <c r="D20" i="7"/>
  <c r="C20" i="7"/>
  <c r="D19" i="7"/>
  <c r="E19" i="7" s="1"/>
  <c r="C19" i="7"/>
  <c r="E18" i="7"/>
  <c r="D18" i="7"/>
  <c r="C18" i="7"/>
  <c r="D17" i="7"/>
  <c r="E17" i="7" s="1"/>
  <c r="C17" i="7"/>
  <c r="E16" i="7"/>
  <c r="D16" i="7"/>
  <c r="C16" i="7"/>
  <c r="D15" i="7"/>
  <c r="E15" i="7" s="1"/>
  <c r="C15" i="7"/>
  <c r="D14" i="7"/>
  <c r="E14" i="7" s="1"/>
  <c r="C14" i="7"/>
  <c r="D13" i="7"/>
  <c r="E13" i="7" s="1"/>
  <c r="C13" i="7"/>
  <c r="D12" i="7"/>
  <c r="E12" i="7" s="1"/>
  <c r="C12" i="7"/>
  <c r="D11" i="7"/>
  <c r="E11" i="7" s="1"/>
  <c r="C11" i="7"/>
  <c r="D10" i="7"/>
  <c r="C10" i="7"/>
  <c r="E10" i="7" s="1"/>
  <c r="D9" i="7"/>
  <c r="E9" i="7" s="1"/>
  <c r="C9" i="7"/>
  <c r="E8" i="7"/>
  <c r="D8" i="7"/>
  <c r="C8" i="7"/>
  <c r="D7" i="7"/>
  <c r="E7" i="7" s="1"/>
  <c r="C7" i="7"/>
  <c r="E6" i="7"/>
  <c r="D6" i="7"/>
  <c r="C6" i="7"/>
  <c r="D5" i="7"/>
  <c r="E5" i="7" s="1"/>
  <c r="C5" i="7"/>
  <c r="D4" i="7"/>
  <c r="C4" i="7"/>
  <c r="D3" i="7"/>
  <c r="E3" i="7" s="1"/>
  <c r="C3" i="7"/>
  <c r="D2" i="7"/>
  <c r="E2" i="7" s="1"/>
  <c r="C2" i="7"/>
  <c r="H4" i="6"/>
  <c r="G65" i="3"/>
  <c r="G64" i="3"/>
  <c r="G63" i="3"/>
  <c r="G61" i="3"/>
  <c r="G60" i="3"/>
  <c r="G59" i="3"/>
  <c r="G58" i="3"/>
  <c r="G57" i="3"/>
  <c r="G56" i="3"/>
  <c r="G55" i="3"/>
  <c r="G54" i="3"/>
  <c r="G53" i="3"/>
  <c r="G52" i="3"/>
  <c r="G51" i="3"/>
  <c r="G50" i="3"/>
  <c r="G41" i="3"/>
  <c r="G40" i="3"/>
  <c r="G39" i="3"/>
  <c r="G38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0" i="3"/>
  <c r="G19" i="3"/>
  <c r="G18" i="3"/>
  <c r="G15" i="3"/>
  <c r="G12" i="3"/>
  <c r="F12" i="3"/>
  <c r="F7" i="3"/>
  <c r="G7" i="3" s="1"/>
  <c r="F6" i="3"/>
  <c r="G3" i="3"/>
  <c r="G70" i="3" s="1"/>
  <c r="F3" i="3"/>
  <c r="I1" i="2"/>
  <c r="H1" i="2"/>
  <c r="K508" i="1"/>
  <c r="A508" i="1"/>
  <c r="O508" i="1" s="1"/>
  <c r="K507" i="1"/>
  <c r="A507" i="1"/>
  <c r="O507" i="1" s="1"/>
  <c r="K506" i="1"/>
  <c r="A506" i="1"/>
  <c r="O506" i="1" s="1"/>
  <c r="K505" i="1"/>
  <c r="A505" i="1"/>
  <c r="O505" i="1" s="1"/>
  <c r="K504" i="1"/>
  <c r="A504" i="1"/>
  <c r="O504" i="1" s="1"/>
  <c r="K503" i="1"/>
  <c r="A503" i="1"/>
  <c r="O503" i="1" s="1"/>
  <c r="K502" i="1"/>
  <c r="A502" i="1"/>
  <c r="O502" i="1" s="1"/>
  <c r="K501" i="1"/>
  <c r="A501" i="1"/>
  <c r="O501" i="1" s="1"/>
  <c r="K500" i="1"/>
  <c r="A500" i="1"/>
  <c r="O500" i="1" s="1"/>
  <c r="K499" i="1"/>
  <c r="A499" i="1"/>
  <c r="O499" i="1" s="1"/>
  <c r="K498" i="1"/>
  <c r="A498" i="1"/>
  <c r="O498" i="1" s="1"/>
  <c r="K497" i="1"/>
  <c r="A497" i="1"/>
  <c r="O497" i="1" s="1"/>
  <c r="K496" i="1"/>
  <c r="A496" i="1"/>
  <c r="O496" i="1" s="1"/>
  <c r="K495" i="1"/>
  <c r="A495" i="1"/>
  <c r="O495" i="1" s="1"/>
  <c r="K494" i="1"/>
  <c r="A494" i="1"/>
  <c r="O494" i="1" s="1"/>
  <c r="K493" i="1"/>
  <c r="A493" i="1"/>
  <c r="O493" i="1" s="1"/>
  <c r="K492" i="1"/>
  <c r="A492" i="1"/>
  <c r="O492" i="1" s="1"/>
  <c r="K491" i="1"/>
  <c r="A491" i="1"/>
  <c r="O491" i="1" s="1"/>
  <c r="K490" i="1"/>
  <c r="A490" i="1"/>
  <c r="O490" i="1" s="1"/>
  <c r="K489" i="1"/>
  <c r="A489" i="1"/>
  <c r="O489" i="1" s="1"/>
  <c r="K488" i="1"/>
  <c r="A488" i="1"/>
  <c r="O488" i="1" s="1"/>
  <c r="K487" i="1"/>
  <c r="A487" i="1"/>
  <c r="O487" i="1" s="1"/>
  <c r="K486" i="1"/>
  <c r="A486" i="1"/>
  <c r="O486" i="1" s="1"/>
  <c r="K485" i="1"/>
  <c r="A485" i="1"/>
  <c r="O485" i="1" s="1"/>
  <c r="K484" i="1"/>
  <c r="A484" i="1"/>
  <c r="O484" i="1" s="1"/>
  <c r="K483" i="1"/>
  <c r="A483" i="1"/>
  <c r="O483" i="1" s="1"/>
  <c r="K482" i="1"/>
  <c r="A482" i="1"/>
  <c r="O482" i="1" s="1"/>
  <c r="K481" i="1"/>
  <c r="A481" i="1"/>
  <c r="O481" i="1" s="1"/>
  <c r="K480" i="1"/>
  <c r="A480" i="1"/>
  <c r="O480" i="1" s="1"/>
  <c r="K479" i="1"/>
  <c r="A479" i="1"/>
  <c r="O479" i="1" s="1"/>
  <c r="K478" i="1"/>
  <c r="A478" i="1"/>
  <c r="O478" i="1" s="1"/>
  <c r="K477" i="1"/>
  <c r="A477" i="1"/>
  <c r="O477" i="1" s="1"/>
  <c r="K476" i="1"/>
  <c r="A476" i="1"/>
  <c r="O476" i="1" s="1"/>
  <c r="K475" i="1"/>
  <c r="A475" i="1"/>
  <c r="O475" i="1" s="1"/>
  <c r="K474" i="1"/>
  <c r="A474" i="1"/>
  <c r="O474" i="1" s="1"/>
  <c r="K473" i="1"/>
  <c r="A473" i="1"/>
  <c r="O473" i="1" s="1"/>
  <c r="K472" i="1"/>
  <c r="A472" i="1"/>
  <c r="O472" i="1" s="1"/>
  <c r="K471" i="1"/>
  <c r="A471" i="1"/>
  <c r="O471" i="1" s="1"/>
  <c r="K470" i="1"/>
  <c r="A470" i="1"/>
  <c r="O470" i="1" s="1"/>
  <c r="K469" i="1"/>
  <c r="A469" i="1"/>
  <c r="O469" i="1" s="1"/>
  <c r="K468" i="1"/>
  <c r="A468" i="1"/>
  <c r="O468" i="1" s="1"/>
  <c r="K467" i="1"/>
  <c r="A467" i="1"/>
  <c r="O467" i="1" s="1"/>
  <c r="K466" i="1"/>
  <c r="A466" i="1"/>
  <c r="O466" i="1" s="1"/>
  <c r="K465" i="1"/>
  <c r="A465" i="1"/>
  <c r="O465" i="1" s="1"/>
  <c r="K464" i="1"/>
  <c r="A464" i="1"/>
  <c r="O464" i="1" s="1"/>
  <c r="K463" i="1"/>
  <c r="A463" i="1"/>
  <c r="O463" i="1" s="1"/>
  <c r="K462" i="1"/>
  <c r="A462" i="1"/>
  <c r="O462" i="1" s="1"/>
  <c r="K461" i="1"/>
  <c r="A461" i="1"/>
  <c r="O461" i="1" s="1"/>
  <c r="K460" i="1"/>
  <c r="A460" i="1"/>
  <c r="O460" i="1" s="1"/>
  <c r="K459" i="1"/>
  <c r="A459" i="1"/>
  <c r="O459" i="1" s="1"/>
  <c r="K458" i="1"/>
  <c r="A458" i="1"/>
  <c r="O458" i="1" s="1"/>
  <c r="K457" i="1"/>
  <c r="A457" i="1"/>
  <c r="O457" i="1" s="1"/>
  <c r="K456" i="1"/>
  <c r="A456" i="1"/>
  <c r="O456" i="1" s="1"/>
  <c r="K455" i="1"/>
  <c r="A455" i="1"/>
  <c r="O455" i="1" s="1"/>
  <c r="K454" i="1"/>
  <c r="A454" i="1"/>
  <c r="O454" i="1" s="1"/>
  <c r="K453" i="1"/>
  <c r="A453" i="1"/>
  <c r="O453" i="1" s="1"/>
  <c r="K452" i="1"/>
  <c r="A452" i="1"/>
  <c r="O452" i="1" s="1"/>
  <c r="K451" i="1"/>
  <c r="A451" i="1"/>
  <c r="O451" i="1" s="1"/>
  <c r="K450" i="1"/>
  <c r="A450" i="1"/>
  <c r="O450" i="1" s="1"/>
  <c r="K449" i="1"/>
  <c r="A449" i="1"/>
  <c r="O449" i="1" s="1"/>
  <c r="K448" i="1"/>
  <c r="A448" i="1"/>
  <c r="O448" i="1" s="1"/>
  <c r="K447" i="1"/>
  <c r="A447" i="1"/>
  <c r="O447" i="1" s="1"/>
  <c r="K446" i="1"/>
  <c r="A446" i="1"/>
  <c r="O446" i="1" s="1"/>
  <c r="K445" i="1"/>
  <c r="A445" i="1"/>
  <c r="O445" i="1" s="1"/>
  <c r="K444" i="1"/>
  <c r="A444" i="1"/>
  <c r="O444" i="1" s="1"/>
  <c r="K443" i="1"/>
  <c r="A443" i="1"/>
  <c r="O443" i="1" s="1"/>
  <c r="K442" i="1"/>
  <c r="A442" i="1"/>
  <c r="O442" i="1" s="1"/>
  <c r="K441" i="1"/>
  <c r="A441" i="1"/>
  <c r="O441" i="1" s="1"/>
  <c r="K440" i="1"/>
  <c r="A440" i="1"/>
  <c r="O440" i="1" s="1"/>
  <c r="K439" i="1"/>
  <c r="A439" i="1"/>
  <c r="O439" i="1" s="1"/>
  <c r="K438" i="1"/>
  <c r="A438" i="1"/>
  <c r="O438" i="1" s="1"/>
  <c r="K437" i="1"/>
  <c r="A437" i="1"/>
  <c r="O437" i="1" s="1"/>
  <c r="K436" i="1"/>
  <c r="A436" i="1"/>
  <c r="O436" i="1" s="1"/>
  <c r="K435" i="1"/>
  <c r="A435" i="1"/>
  <c r="O435" i="1" s="1"/>
  <c r="K434" i="1"/>
  <c r="A434" i="1"/>
  <c r="O434" i="1" s="1"/>
  <c r="K433" i="1"/>
  <c r="A433" i="1"/>
  <c r="O433" i="1" s="1"/>
  <c r="K432" i="1"/>
  <c r="A432" i="1"/>
  <c r="O432" i="1" s="1"/>
  <c r="K431" i="1"/>
  <c r="A431" i="1"/>
  <c r="O431" i="1" s="1"/>
  <c r="K430" i="1"/>
  <c r="A430" i="1"/>
  <c r="O430" i="1" s="1"/>
  <c r="K429" i="1"/>
  <c r="A429" i="1"/>
  <c r="O429" i="1" s="1"/>
  <c r="K428" i="1"/>
  <c r="A428" i="1"/>
  <c r="O428" i="1" s="1"/>
  <c r="K427" i="1"/>
  <c r="A427" i="1"/>
  <c r="O427" i="1" s="1"/>
  <c r="K426" i="1"/>
  <c r="A426" i="1"/>
  <c r="O426" i="1" s="1"/>
  <c r="K425" i="1"/>
  <c r="A425" i="1"/>
  <c r="O425" i="1" s="1"/>
  <c r="K424" i="1"/>
  <c r="A424" i="1"/>
  <c r="O424" i="1" s="1"/>
  <c r="K423" i="1"/>
  <c r="A423" i="1"/>
  <c r="O423" i="1" s="1"/>
  <c r="K422" i="1"/>
  <c r="A422" i="1"/>
  <c r="O422" i="1" s="1"/>
  <c r="K421" i="1"/>
  <c r="A421" i="1"/>
  <c r="O421" i="1" s="1"/>
  <c r="K420" i="1"/>
  <c r="A420" i="1"/>
  <c r="O420" i="1" s="1"/>
  <c r="K419" i="1"/>
  <c r="A419" i="1"/>
  <c r="O419" i="1" s="1"/>
  <c r="K418" i="1"/>
  <c r="A418" i="1"/>
  <c r="O418" i="1" s="1"/>
  <c r="K417" i="1"/>
  <c r="A417" i="1"/>
  <c r="O417" i="1" s="1"/>
  <c r="K416" i="1"/>
  <c r="A416" i="1"/>
  <c r="O416" i="1" s="1"/>
  <c r="K415" i="1"/>
  <c r="A415" i="1"/>
  <c r="O415" i="1" s="1"/>
  <c r="K414" i="1"/>
  <c r="A414" i="1"/>
  <c r="O414" i="1" s="1"/>
  <c r="K413" i="1"/>
  <c r="A413" i="1"/>
  <c r="O413" i="1" s="1"/>
  <c r="K412" i="1"/>
  <c r="A412" i="1"/>
  <c r="O412" i="1" s="1"/>
  <c r="K411" i="1"/>
  <c r="A411" i="1"/>
  <c r="O411" i="1" s="1"/>
  <c r="K410" i="1"/>
  <c r="A410" i="1"/>
  <c r="O410" i="1" s="1"/>
  <c r="K409" i="1"/>
  <c r="A409" i="1"/>
  <c r="O409" i="1" s="1"/>
  <c r="K408" i="1"/>
  <c r="A408" i="1"/>
  <c r="O408" i="1" s="1"/>
  <c r="K407" i="1"/>
  <c r="A407" i="1"/>
  <c r="O407" i="1" s="1"/>
  <c r="K406" i="1"/>
  <c r="A406" i="1"/>
  <c r="O406" i="1" s="1"/>
  <c r="K405" i="1"/>
  <c r="A405" i="1"/>
  <c r="O405" i="1" s="1"/>
  <c r="K404" i="1"/>
  <c r="A404" i="1"/>
  <c r="O404" i="1" s="1"/>
  <c r="K403" i="1"/>
  <c r="A403" i="1"/>
  <c r="O403" i="1" s="1"/>
  <c r="K402" i="1"/>
  <c r="A402" i="1"/>
  <c r="O402" i="1" s="1"/>
  <c r="K401" i="1"/>
  <c r="A401" i="1"/>
  <c r="O401" i="1" s="1"/>
  <c r="K400" i="1"/>
  <c r="A400" i="1"/>
  <c r="O400" i="1" s="1"/>
  <c r="K399" i="1"/>
  <c r="A399" i="1"/>
  <c r="O399" i="1" s="1"/>
  <c r="K398" i="1"/>
  <c r="A398" i="1"/>
  <c r="O398" i="1" s="1"/>
  <c r="K397" i="1"/>
  <c r="A397" i="1"/>
  <c r="O397" i="1" s="1"/>
  <c r="K396" i="1"/>
  <c r="A396" i="1"/>
  <c r="O396" i="1" s="1"/>
  <c r="K395" i="1"/>
  <c r="A395" i="1"/>
  <c r="O395" i="1" s="1"/>
  <c r="K394" i="1"/>
  <c r="A394" i="1"/>
  <c r="O394" i="1" s="1"/>
  <c r="K393" i="1"/>
  <c r="A393" i="1"/>
  <c r="K392" i="1"/>
  <c r="A392" i="1"/>
  <c r="K391" i="1"/>
  <c r="A391" i="1"/>
  <c r="K390" i="1"/>
  <c r="A390" i="1"/>
  <c r="K389" i="1"/>
  <c r="A389" i="1"/>
  <c r="K388" i="1"/>
  <c r="A388" i="1"/>
  <c r="K387" i="1"/>
  <c r="A387" i="1"/>
  <c r="K386" i="1"/>
  <c r="A386" i="1"/>
  <c r="K385" i="1"/>
  <c r="A385" i="1"/>
  <c r="K384" i="1"/>
  <c r="A384" i="1"/>
  <c r="K383" i="1"/>
  <c r="A383" i="1"/>
  <c r="K382" i="1"/>
  <c r="A382" i="1"/>
  <c r="K381" i="1"/>
  <c r="A381" i="1"/>
  <c r="K380" i="1"/>
  <c r="A380" i="1"/>
  <c r="K379" i="1"/>
  <c r="A379" i="1"/>
  <c r="K378" i="1"/>
  <c r="A378" i="1"/>
  <c r="K377" i="1"/>
  <c r="A377" i="1"/>
  <c r="K376" i="1"/>
  <c r="A376" i="1"/>
  <c r="K375" i="1"/>
  <c r="A375" i="1"/>
  <c r="K374" i="1"/>
  <c r="A374" i="1"/>
  <c r="K373" i="1"/>
  <c r="A373" i="1"/>
  <c r="K372" i="1"/>
  <c r="A372" i="1"/>
  <c r="K371" i="1"/>
  <c r="A371" i="1"/>
  <c r="K370" i="1"/>
  <c r="A370" i="1"/>
  <c r="K369" i="1"/>
  <c r="A369" i="1"/>
  <c r="K368" i="1"/>
  <c r="A368" i="1"/>
  <c r="K367" i="1"/>
  <c r="A367" i="1"/>
  <c r="K366" i="1"/>
  <c r="A366" i="1"/>
  <c r="K365" i="1"/>
  <c r="A365" i="1"/>
  <c r="K364" i="1"/>
  <c r="A364" i="1"/>
  <c r="K363" i="1"/>
  <c r="A363" i="1"/>
  <c r="K362" i="1"/>
  <c r="A362" i="1"/>
  <c r="K361" i="1"/>
  <c r="A361" i="1"/>
  <c r="K360" i="1"/>
  <c r="A360" i="1"/>
  <c r="K359" i="1"/>
  <c r="A359" i="1"/>
  <c r="K358" i="1"/>
  <c r="A358" i="1"/>
  <c r="K357" i="1"/>
  <c r="A357" i="1"/>
  <c r="K356" i="1"/>
  <c r="A356" i="1"/>
  <c r="K355" i="1"/>
  <c r="A355" i="1"/>
  <c r="K354" i="1"/>
  <c r="A354" i="1"/>
  <c r="K353" i="1"/>
  <c r="A353" i="1"/>
  <c r="K352" i="1"/>
  <c r="A352" i="1"/>
  <c r="K351" i="1"/>
  <c r="A351" i="1"/>
  <c r="K350" i="1"/>
  <c r="A350" i="1"/>
  <c r="K349" i="1"/>
  <c r="A349" i="1"/>
  <c r="K348" i="1"/>
  <c r="A348" i="1"/>
  <c r="K347" i="1"/>
  <c r="A347" i="1"/>
  <c r="K346" i="1"/>
  <c r="A346" i="1"/>
  <c r="K345" i="1"/>
  <c r="A345" i="1"/>
  <c r="K344" i="1"/>
  <c r="A344" i="1"/>
  <c r="K343" i="1"/>
  <c r="A343" i="1"/>
  <c r="K342" i="1"/>
  <c r="A342" i="1"/>
  <c r="K341" i="1"/>
  <c r="A341" i="1"/>
  <c r="K340" i="1"/>
  <c r="A340" i="1"/>
  <c r="K339" i="1"/>
  <c r="A339" i="1"/>
  <c r="K338" i="1"/>
  <c r="A338" i="1"/>
  <c r="K337" i="1"/>
  <c r="A337" i="1"/>
  <c r="K336" i="1"/>
  <c r="A336" i="1"/>
  <c r="K335" i="1"/>
  <c r="A335" i="1"/>
  <c r="K334" i="1"/>
  <c r="A334" i="1"/>
  <c r="K333" i="1"/>
  <c r="A333" i="1"/>
  <c r="K332" i="1"/>
  <c r="A332" i="1"/>
  <c r="K331" i="1"/>
  <c r="A331" i="1"/>
  <c r="K330" i="1"/>
  <c r="A330" i="1"/>
  <c r="K329" i="1"/>
  <c r="A329" i="1"/>
  <c r="K328" i="1"/>
  <c r="A328" i="1"/>
  <c r="K327" i="1"/>
  <c r="A327" i="1"/>
  <c r="K326" i="1"/>
  <c r="A326" i="1"/>
  <c r="K325" i="1"/>
  <c r="A325" i="1"/>
  <c r="K324" i="1"/>
  <c r="A324" i="1"/>
  <c r="K323" i="1"/>
  <c r="A323" i="1"/>
  <c r="K322" i="1"/>
  <c r="A322" i="1"/>
  <c r="K321" i="1"/>
  <c r="A321" i="1"/>
  <c r="K320" i="1"/>
  <c r="A320" i="1"/>
  <c r="K319" i="1"/>
  <c r="A319" i="1"/>
  <c r="K318" i="1"/>
  <c r="A318" i="1"/>
  <c r="K317" i="1"/>
  <c r="A317" i="1"/>
  <c r="K316" i="1"/>
  <c r="A316" i="1"/>
  <c r="K315" i="1"/>
  <c r="A315" i="1"/>
  <c r="K314" i="1"/>
  <c r="A314" i="1"/>
  <c r="K313" i="1"/>
  <c r="A313" i="1"/>
  <c r="K312" i="1"/>
  <c r="A312" i="1"/>
  <c r="K311" i="1"/>
  <c r="A311" i="1"/>
  <c r="K310" i="1"/>
  <c r="A310" i="1"/>
  <c r="K309" i="1"/>
  <c r="A309" i="1"/>
  <c r="K308" i="1"/>
  <c r="A308" i="1"/>
  <c r="K307" i="1"/>
  <c r="A307" i="1"/>
  <c r="K306" i="1"/>
  <c r="A306" i="1"/>
  <c r="K305" i="1"/>
  <c r="A305" i="1"/>
  <c r="K304" i="1"/>
  <c r="A304" i="1"/>
  <c r="K303" i="1"/>
  <c r="A303" i="1"/>
  <c r="K302" i="1"/>
  <c r="A302" i="1"/>
  <c r="K301" i="1"/>
  <c r="A301" i="1"/>
  <c r="K300" i="1"/>
  <c r="A300" i="1"/>
  <c r="K299" i="1"/>
  <c r="A299" i="1"/>
  <c r="K298" i="1"/>
  <c r="A298" i="1"/>
  <c r="K297" i="1"/>
  <c r="A297" i="1"/>
  <c r="K296" i="1"/>
  <c r="A296" i="1"/>
  <c r="K295" i="1"/>
  <c r="A295" i="1"/>
  <c r="K294" i="1"/>
  <c r="A294" i="1"/>
  <c r="K293" i="1"/>
  <c r="A293" i="1"/>
  <c r="P292" i="1"/>
  <c r="K292" i="1"/>
  <c r="A292" i="1"/>
  <c r="K291" i="1"/>
  <c r="A291" i="1"/>
  <c r="K290" i="1"/>
  <c r="A290" i="1"/>
  <c r="K289" i="1"/>
  <c r="A289" i="1"/>
  <c r="K288" i="1"/>
  <c r="A288" i="1"/>
  <c r="K287" i="1"/>
  <c r="A287" i="1"/>
  <c r="K286" i="1"/>
  <c r="A286" i="1"/>
  <c r="K285" i="1"/>
  <c r="A285" i="1"/>
  <c r="K284" i="1"/>
  <c r="A284" i="1"/>
  <c r="K283" i="1"/>
  <c r="A283" i="1"/>
  <c r="K282" i="1"/>
  <c r="A282" i="1"/>
  <c r="K281" i="1"/>
  <c r="A281" i="1"/>
  <c r="K280" i="1"/>
  <c r="A280" i="1"/>
  <c r="K279" i="1"/>
  <c r="A279" i="1"/>
  <c r="K278" i="1"/>
  <c r="A278" i="1"/>
  <c r="K277" i="1"/>
  <c r="A277" i="1"/>
  <c r="K276" i="1"/>
  <c r="A276" i="1"/>
  <c r="K275" i="1"/>
  <c r="A275" i="1"/>
  <c r="K274" i="1"/>
  <c r="A274" i="1"/>
  <c r="K273" i="1"/>
  <c r="A273" i="1"/>
  <c r="K272" i="1"/>
  <c r="A272" i="1"/>
  <c r="K271" i="1"/>
  <c r="A271" i="1"/>
  <c r="K270" i="1"/>
  <c r="A270" i="1"/>
  <c r="K269" i="1"/>
  <c r="A269" i="1"/>
  <c r="K268" i="1"/>
  <c r="A268" i="1"/>
  <c r="K267" i="1"/>
  <c r="A267" i="1"/>
  <c r="K266" i="1"/>
  <c r="A266" i="1"/>
  <c r="K265" i="1"/>
  <c r="A265" i="1"/>
  <c r="K264" i="1"/>
  <c r="A264" i="1"/>
  <c r="K263" i="1"/>
  <c r="A263" i="1"/>
  <c r="K262" i="1"/>
  <c r="A262" i="1"/>
  <c r="K261" i="1"/>
  <c r="A261" i="1"/>
  <c r="K260" i="1"/>
  <c r="A260" i="1"/>
  <c r="K259" i="1"/>
  <c r="A259" i="1"/>
  <c r="K258" i="1"/>
  <c r="A258" i="1"/>
  <c r="K257" i="1"/>
  <c r="A257" i="1"/>
  <c r="K256" i="1"/>
  <c r="A256" i="1"/>
  <c r="K255" i="1"/>
  <c r="A255" i="1"/>
  <c r="K254" i="1"/>
  <c r="A254" i="1"/>
  <c r="K253" i="1"/>
  <c r="A253" i="1"/>
  <c r="K252" i="1"/>
  <c r="A252" i="1"/>
  <c r="K251" i="1"/>
  <c r="A251" i="1"/>
  <c r="K250" i="1"/>
  <c r="A250" i="1"/>
  <c r="K249" i="1"/>
  <c r="A249" i="1"/>
  <c r="K248" i="1"/>
  <c r="A248" i="1"/>
  <c r="K247" i="1"/>
  <c r="A247" i="1"/>
  <c r="K246" i="1"/>
  <c r="A246" i="1"/>
  <c r="K245" i="1"/>
  <c r="A245" i="1"/>
  <c r="K244" i="1"/>
  <c r="A244" i="1"/>
  <c r="K243" i="1"/>
  <c r="A243" i="1"/>
  <c r="K242" i="1"/>
  <c r="A242" i="1"/>
  <c r="K241" i="1"/>
  <c r="A241" i="1"/>
  <c r="K240" i="1"/>
  <c r="A240" i="1"/>
  <c r="K239" i="1"/>
  <c r="A239" i="1"/>
  <c r="K238" i="1"/>
  <c r="A238" i="1"/>
  <c r="K237" i="1"/>
  <c r="A237" i="1"/>
  <c r="K236" i="1"/>
  <c r="A236" i="1"/>
  <c r="K235" i="1"/>
  <c r="A235" i="1"/>
  <c r="K234" i="1"/>
  <c r="A234" i="1"/>
  <c r="K233" i="1"/>
  <c r="A233" i="1"/>
  <c r="K232" i="1"/>
  <c r="A232" i="1"/>
  <c r="K231" i="1"/>
  <c r="A231" i="1"/>
  <c r="K230" i="1"/>
  <c r="A230" i="1"/>
  <c r="K229" i="1"/>
  <c r="A229" i="1"/>
  <c r="K228" i="1"/>
  <c r="A228" i="1"/>
  <c r="K227" i="1"/>
  <c r="A227" i="1"/>
  <c r="K226" i="1"/>
  <c r="A226" i="1"/>
  <c r="K225" i="1"/>
  <c r="A225" i="1"/>
  <c r="K224" i="1"/>
  <c r="A224" i="1"/>
  <c r="K223" i="1"/>
  <c r="A223" i="1"/>
  <c r="K222" i="1"/>
  <c r="A222" i="1"/>
  <c r="K221" i="1"/>
  <c r="A221" i="1"/>
  <c r="K220" i="1"/>
  <c r="A220" i="1"/>
  <c r="K219" i="1"/>
  <c r="A219" i="1"/>
  <c r="K218" i="1"/>
  <c r="A218" i="1"/>
  <c r="K217" i="1"/>
  <c r="A217" i="1"/>
  <c r="K216" i="1"/>
  <c r="A216" i="1"/>
  <c r="K215" i="1"/>
  <c r="A215" i="1"/>
  <c r="K214" i="1"/>
  <c r="A214" i="1"/>
  <c r="K213" i="1"/>
  <c r="A213" i="1"/>
  <c r="K212" i="1"/>
  <c r="A212" i="1"/>
  <c r="K211" i="1"/>
  <c r="A211" i="1"/>
  <c r="K210" i="1"/>
  <c r="A210" i="1"/>
  <c r="K209" i="1"/>
  <c r="A209" i="1"/>
  <c r="K208" i="1"/>
  <c r="A208" i="1"/>
  <c r="K207" i="1"/>
  <c r="A207" i="1"/>
  <c r="K206" i="1"/>
  <c r="A206" i="1"/>
  <c r="K205" i="1"/>
  <c r="A205" i="1"/>
  <c r="K204" i="1"/>
  <c r="A204" i="1"/>
  <c r="K203" i="1"/>
  <c r="A203" i="1"/>
  <c r="K202" i="1"/>
  <c r="A202" i="1"/>
  <c r="K201" i="1"/>
  <c r="A201" i="1"/>
  <c r="K200" i="1"/>
  <c r="A200" i="1"/>
  <c r="K199" i="1"/>
  <c r="A199" i="1"/>
  <c r="K198" i="1"/>
  <c r="A198" i="1"/>
  <c r="K197" i="1"/>
  <c r="A197" i="1"/>
  <c r="K196" i="1"/>
  <c r="A196" i="1"/>
  <c r="K195" i="1"/>
  <c r="A195" i="1"/>
  <c r="K194" i="1"/>
  <c r="A194" i="1"/>
  <c r="K193" i="1"/>
  <c r="A193" i="1"/>
  <c r="K192" i="1"/>
  <c r="A192" i="1"/>
  <c r="K191" i="1"/>
  <c r="A191" i="1"/>
  <c r="K190" i="1"/>
  <c r="A190" i="1"/>
  <c r="K189" i="1"/>
  <c r="A189" i="1"/>
  <c r="K188" i="1"/>
  <c r="A188" i="1"/>
  <c r="K187" i="1"/>
  <c r="A187" i="1"/>
  <c r="K186" i="1"/>
  <c r="A186" i="1"/>
  <c r="K185" i="1"/>
  <c r="A185" i="1"/>
  <c r="K184" i="1"/>
  <c r="A184" i="1"/>
  <c r="K183" i="1"/>
  <c r="A183" i="1"/>
  <c r="K182" i="1"/>
  <c r="A182" i="1"/>
  <c r="K181" i="1"/>
  <c r="A181" i="1"/>
  <c r="K180" i="1"/>
  <c r="A180" i="1"/>
  <c r="K179" i="1"/>
  <c r="A179" i="1"/>
  <c r="K178" i="1"/>
  <c r="A178" i="1"/>
  <c r="K177" i="1"/>
  <c r="A177" i="1"/>
  <c r="K176" i="1"/>
  <c r="A176" i="1"/>
  <c r="K175" i="1"/>
  <c r="A175" i="1"/>
  <c r="K174" i="1"/>
  <c r="A174" i="1"/>
  <c r="K173" i="1"/>
  <c r="A173" i="1"/>
  <c r="K172" i="1"/>
  <c r="A172" i="1"/>
  <c r="K171" i="1"/>
  <c r="A171" i="1"/>
  <c r="K170" i="1"/>
  <c r="A170" i="1"/>
  <c r="K169" i="1"/>
  <c r="A169" i="1"/>
  <c r="K168" i="1"/>
  <c r="A168" i="1"/>
  <c r="K167" i="1"/>
  <c r="A167" i="1"/>
  <c r="K166" i="1"/>
  <c r="A166" i="1"/>
  <c r="K165" i="1"/>
  <c r="A165" i="1"/>
  <c r="K164" i="1"/>
  <c r="A164" i="1"/>
  <c r="K163" i="1"/>
  <c r="A163" i="1"/>
  <c r="K162" i="1"/>
  <c r="A162" i="1"/>
  <c r="K161" i="1"/>
  <c r="A161" i="1"/>
  <c r="K160" i="1"/>
  <c r="A160" i="1"/>
  <c r="K159" i="1"/>
  <c r="A159" i="1"/>
  <c r="K158" i="1"/>
  <c r="A158" i="1"/>
  <c r="K157" i="1"/>
  <c r="A157" i="1"/>
  <c r="K156" i="1"/>
  <c r="A156" i="1"/>
  <c r="K155" i="1"/>
  <c r="A155" i="1"/>
  <c r="K154" i="1"/>
  <c r="A154" i="1"/>
  <c r="K153" i="1"/>
  <c r="A153" i="1"/>
  <c r="K152" i="1"/>
  <c r="A152" i="1"/>
  <c r="K151" i="1"/>
  <c r="A151" i="1"/>
  <c r="K150" i="1"/>
  <c r="A150" i="1"/>
  <c r="K149" i="1"/>
  <c r="A149" i="1"/>
  <c r="K148" i="1"/>
  <c r="A148" i="1"/>
  <c r="K147" i="1"/>
  <c r="A147" i="1"/>
  <c r="K146" i="1"/>
  <c r="A146" i="1"/>
  <c r="K145" i="1"/>
  <c r="A145" i="1"/>
  <c r="K144" i="1"/>
  <c r="A144" i="1"/>
  <c r="K143" i="1"/>
  <c r="A143" i="1"/>
  <c r="K142" i="1"/>
  <c r="A142" i="1"/>
  <c r="K141" i="1"/>
  <c r="A141" i="1"/>
  <c r="K140" i="1"/>
  <c r="A140" i="1"/>
  <c r="K139" i="1"/>
  <c r="A139" i="1"/>
  <c r="K138" i="1"/>
  <c r="A138" i="1"/>
  <c r="K137" i="1"/>
  <c r="A137" i="1"/>
  <c r="K136" i="1"/>
  <c r="A136" i="1"/>
  <c r="K135" i="1"/>
  <c r="A135" i="1"/>
  <c r="K134" i="1"/>
  <c r="A134" i="1"/>
  <c r="K133" i="1"/>
  <c r="A133" i="1"/>
  <c r="K132" i="1"/>
  <c r="A132" i="1"/>
  <c r="K131" i="1"/>
  <c r="A131" i="1"/>
  <c r="K130" i="1"/>
  <c r="A130" i="1"/>
  <c r="K129" i="1"/>
  <c r="A129" i="1"/>
  <c r="K128" i="1"/>
  <c r="A128" i="1"/>
  <c r="K127" i="1"/>
  <c r="A127" i="1"/>
  <c r="K126" i="1"/>
  <c r="A126" i="1"/>
  <c r="K125" i="1"/>
  <c r="A125" i="1"/>
  <c r="K124" i="1"/>
  <c r="A124" i="1"/>
  <c r="K123" i="1"/>
  <c r="A123" i="1"/>
  <c r="K122" i="1"/>
  <c r="A122" i="1"/>
  <c r="K121" i="1"/>
  <c r="A121" i="1"/>
  <c r="K120" i="1"/>
  <c r="A120" i="1"/>
  <c r="K119" i="1"/>
  <c r="A119" i="1"/>
  <c r="K118" i="1"/>
  <c r="A118" i="1"/>
  <c r="K117" i="1"/>
  <c r="A117" i="1"/>
  <c r="K116" i="1"/>
  <c r="A116" i="1"/>
  <c r="K115" i="1"/>
  <c r="A115" i="1"/>
  <c r="K114" i="1"/>
  <c r="A114" i="1"/>
  <c r="K113" i="1"/>
  <c r="A113" i="1"/>
  <c r="K112" i="1"/>
  <c r="A112" i="1"/>
  <c r="K111" i="1"/>
  <c r="A111" i="1"/>
  <c r="K110" i="1"/>
  <c r="A110" i="1"/>
  <c r="K109" i="1"/>
  <c r="A109" i="1"/>
  <c r="K108" i="1"/>
  <c r="A108" i="1"/>
  <c r="K107" i="1"/>
  <c r="A107" i="1"/>
  <c r="K106" i="1"/>
  <c r="A106" i="1"/>
  <c r="K105" i="1"/>
  <c r="A105" i="1"/>
  <c r="K104" i="1"/>
  <c r="A104" i="1"/>
  <c r="K103" i="1"/>
  <c r="A103" i="1"/>
  <c r="K102" i="1"/>
  <c r="A102" i="1"/>
  <c r="K101" i="1"/>
  <c r="A101" i="1"/>
  <c r="K100" i="1"/>
  <c r="A100" i="1"/>
  <c r="K99" i="1"/>
  <c r="A99" i="1"/>
  <c r="K98" i="1"/>
  <c r="A98" i="1"/>
  <c r="K97" i="1"/>
  <c r="A97" i="1"/>
  <c r="K96" i="1"/>
  <c r="A96" i="1"/>
  <c r="K95" i="1"/>
  <c r="A95" i="1"/>
  <c r="K94" i="1"/>
  <c r="A94" i="1"/>
  <c r="K93" i="1"/>
  <c r="A93" i="1"/>
  <c r="K92" i="1"/>
  <c r="A92" i="1"/>
  <c r="K91" i="1"/>
  <c r="A91" i="1"/>
  <c r="K90" i="1"/>
  <c r="A90" i="1"/>
  <c r="K89" i="1"/>
  <c r="A89" i="1"/>
  <c r="K88" i="1"/>
  <c r="A88" i="1"/>
  <c r="K87" i="1"/>
  <c r="A87" i="1"/>
  <c r="K86" i="1"/>
  <c r="A86" i="1"/>
  <c r="K85" i="1"/>
  <c r="A85" i="1"/>
  <c r="K84" i="1"/>
  <c r="A84" i="1"/>
  <c r="K83" i="1"/>
  <c r="A83" i="1"/>
  <c r="K82" i="1"/>
  <c r="A82" i="1"/>
  <c r="K81" i="1"/>
  <c r="A81" i="1"/>
  <c r="K80" i="1"/>
  <c r="A80" i="1"/>
  <c r="K79" i="1"/>
  <c r="A79" i="1"/>
  <c r="K78" i="1"/>
  <c r="A78" i="1"/>
  <c r="K77" i="1"/>
  <c r="A77" i="1"/>
  <c r="K76" i="1"/>
  <c r="A76" i="1"/>
  <c r="K75" i="1"/>
  <c r="A75" i="1"/>
  <c r="K74" i="1"/>
  <c r="A74" i="1"/>
  <c r="K73" i="1"/>
  <c r="A73" i="1"/>
  <c r="K72" i="1"/>
  <c r="A72" i="1"/>
  <c r="K71" i="1"/>
  <c r="A71" i="1"/>
  <c r="K70" i="1"/>
  <c r="A70" i="1"/>
  <c r="K69" i="1"/>
  <c r="A69" i="1"/>
  <c r="K68" i="1"/>
  <c r="A68" i="1"/>
  <c r="K67" i="1"/>
  <c r="A67" i="1"/>
  <c r="K66" i="1"/>
  <c r="A66" i="1"/>
  <c r="K65" i="1"/>
  <c r="A65" i="1"/>
  <c r="K64" i="1"/>
  <c r="A64" i="1"/>
  <c r="K63" i="1"/>
  <c r="A63" i="1"/>
  <c r="K62" i="1"/>
  <c r="A62" i="1"/>
  <c r="K61" i="1"/>
  <c r="A61" i="1"/>
  <c r="K60" i="1"/>
  <c r="A60" i="1"/>
  <c r="K59" i="1"/>
  <c r="A59" i="1"/>
  <c r="K58" i="1"/>
  <c r="A58" i="1"/>
  <c r="K57" i="1"/>
  <c r="A57" i="1"/>
  <c r="K56" i="1"/>
  <c r="A56" i="1"/>
  <c r="K55" i="1"/>
  <c r="A55" i="1"/>
  <c r="K54" i="1"/>
  <c r="A54" i="1"/>
  <c r="K53" i="1"/>
  <c r="A53" i="1"/>
  <c r="K52" i="1"/>
  <c r="A52" i="1"/>
  <c r="K51" i="1"/>
  <c r="A51" i="1"/>
  <c r="K47" i="1"/>
  <c r="A47" i="1"/>
  <c r="K49" i="1"/>
  <c r="K46" i="1"/>
  <c r="A46" i="1"/>
  <c r="K45" i="1"/>
  <c r="A45" i="1"/>
  <c r="K44" i="1"/>
  <c r="A44" i="1"/>
  <c r="K43" i="1"/>
  <c r="A43" i="1"/>
  <c r="K42" i="1"/>
  <c r="A42" i="1"/>
  <c r="K41" i="1"/>
  <c r="A41" i="1"/>
  <c r="K40" i="1"/>
  <c r="A40" i="1"/>
  <c r="K39" i="1"/>
  <c r="A39" i="1"/>
  <c r="K38" i="1"/>
  <c r="A38" i="1"/>
  <c r="K37" i="1"/>
  <c r="A37" i="1"/>
  <c r="K36" i="1"/>
  <c r="A36" i="1"/>
  <c r="K35" i="1"/>
  <c r="A35" i="1"/>
  <c r="K34" i="1"/>
  <c r="A34" i="1"/>
  <c r="K33" i="1"/>
  <c r="A33" i="1"/>
  <c r="K32" i="1"/>
  <c r="A32" i="1"/>
  <c r="K31" i="1"/>
  <c r="A31" i="1"/>
  <c r="K30" i="1"/>
  <c r="A30" i="1"/>
  <c r="K29" i="1"/>
  <c r="A29" i="1"/>
  <c r="K28" i="1"/>
  <c r="A28" i="1"/>
  <c r="K27" i="1"/>
  <c r="A27" i="1"/>
  <c r="K26" i="1"/>
  <c r="A26" i="1"/>
  <c r="K25" i="1"/>
  <c r="A25" i="1"/>
  <c r="K24" i="1"/>
  <c r="A24" i="1"/>
  <c r="K23" i="1"/>
  <c r="A23" i="1"/>
  <c r="K22" i="1"/>
  <c r="A22" i="1"/>
  <c r="K21" i="1"/>
  <c r="A21" i="1"/>
  <c r="K20" i="1"/>
  <c r="A20" i="1"/>
  <c r="K19" i="1"/>
  <c r="A19" i="1"/>
  <c r="K18" i="1"/>
  <c r="A18" i="1"/>
  <c r="K17" i="1"/>
  <c r="A17" i="1"/>
  <c r="K16" i="1"/>
  <c r="A16" i="1"/>
  <c r="K15" i="1"/>
  <c r="A15" i="1"/>
  <c r="K14" i="1"/>
  <c r="A14" i="1"/>
  <c r="K13" i="1"/>
  <c r="A13" i="1"/>
  <c r="K12" i="1"/>
  <c r="A12" i="1"/>
  <c r="K11" i="1"/>
  <c r="A11" i="1"/>
  <c r="K10" i="1"/>
  <c r="A10" i="1"/>
  <c r="K9" i="1"/>
  <c r="A9" i="1"/>
  <c r="O9" i="1" s="1"/>
  <c r="K8" i="1"/>
  <c r="A8" i="1"/>
  <c r="O8" i="1" s="1"/>
  <c r="K7" i="1"/>
  <c r="A7" i="1"/>
  <c r="K6" i="1"/>
  <c r="A6" i="1"/>
  <c r="O6" i="1" s="1"/>
  <c r="K5" i="1"/>
  <c r="A5" i="1"/>
  <c r="O5" i="1" s="1"/>
  <c r="K4" i="1"/>
  <c r="A4" i="1"/>
  <c r="O4" i="1" s="1"/>
  <c r="K3" i="1"/>
  <c r="A3" i="1"/>
  <c r="K2" i="1"/>
  <c r="A2" i="1"/>
  <c r="C78" i="2" l="1"/>
  <c r="O2" i="1"/>
  <c r="C293" i="2"/>
  <c r="O7" i="1"/>
  <c r="C216" i="2"/>
  <c r="D9" i="2"/>
  <c r="C16" i="2"/>
  <c r="D23" i="2"/>
  <c r="D30" i="2"/>
  <c r="C38" i="2"/>
  <c r="C45" i="2"/>
  <c r="D52" i="2"/>
  <c r="D59" i="2"/>
  <c r="C66" i="2"/>
  <c r="D73" i="2"/>
  <c r="D80" i="2"/>
  <c r="C88" i="2"/>
  <c r="C95" i="2"/>
  <c r="D102" i="2"/>
  <c r="D109" i="2"/>
  <c r="C116" i="2"/>
  <c r="D123" i="2"/>
  <c r="D130" i="2"/>
  <c r="C138" i="2"/>
  <c r="C145" i="2"/>
  <c r="D152" i="2"/>
  <c r="D159" i="2"/>
  <c r="C166" i="2"/>
  <c r="D173" i="2"/>
  <c r="D180" i="2"/>
  <c r="C188" i="2"/>
  <c r="C195" i="2"/>
  <c r="D202" i="2"/>
  <c r="D209" i="2"/>
  <c r="D223" i="2"/>
  <c r="C231" i="2"/>
  <c r="D239" i="2"/>
  <c r="D255" i="2"/>
  <c r="C273" i="2"/>
  <c r="D288" i="2"/>
  <c r="D304" i="2"/>
  <c r="C302" i="2"/>
  <c r="C3" i="2"/>
  <c r="C10" i="2"/>
  <c r="D17" i="2"/>
  <c r="D24" i="2"/>
  <c r="C31" i="2"/>
  <c r="D38" i="2"/>
  <c r="D45" i="2"/>
  <c r="C53" i="2"/>
  <c r="C60" i="2"/>
  <c r="D67" i="2"/>
  <c r="D74" i="2"/>
  <c r="C81" i="2"/>
  <c r="D88" i="2"/>
  <c r="D95" i="2"/>
  <c r="C103" i="2"/>
  <c r="C110" i="2"/>
  <c r="D117" i="2"/>
  <c r="D124" i="2"/>
  <c r="C131" i="2"/>
  <c r="D138" i="2"/>
  <c r="D145" i="2"/>
  <c r="C153" i="2"/>
  <c r="C160" i="2"/>
  <c r="D167" i="2"/>
  <c r="D174" i="2"/>
  <c r="C181" i="2"/>
  <c r="D188" i="2"/>
  <c r="D195" i="2"/>
  <c r="C203" i="2"/>
  <c r="C210" i="2"/>
  <c r="D217" i="2"/>
  <c r="D224" i="2"/>
  <c r="D232" i="2"/>
  <c r="D240" i="2"/>
  <c r="C258" i="2"/>
  <c r="D274" i="2"/>
  <c r="D289" i="2"/>
  <c r="D3" i="2"/>
  <c r="D10" i="2"/>
  <c r="C18" i="2"/>
  <c r="C25" i="2"/>
  <c r="D32" i="2"/>
  <c r="D39" i="2"/>
  <c r="C46" i="2"/>
  <c r="D53" i="2"/>
  <c r="D60" i="2"/>
  <c r="C68" i="2"/>
  <c r="C75" i="2"/>
  <c r="D82" i="2"/>
  <c r="D89" i="2"/>
  <c r="C96" i="2"/>
  <c r="D103" i="2"/>
  <c r="D110" i="2"/>
  <c r="C118" i="2"/>
  <c r="C125" i="2"/>
  <c r="D132" i="2"/>
  <c r="D139" i="2"/>
  <c r="C146" i="2"/>
  <c r="D153" i="2"/>
  <c r="D160" i="2"/>
  <c r="C168" i="2"/>
  <c r="C175" i="2"/>
  <c r="D182" i="2"/>
  <c r="D189" i="2"/>
  <c r="C196" i="2"/>
  <c r="D203" i="2"/>
  <c r="D210" i="2"/>
  <c r="C218" i="2"/>
  <c r="C225" i="2"/>
  <c r="C233" i="2"/>
  <c r="C243" i="2"/>
  <c r="D259" i="2"/>
  <c r="D275" i="2"/>
  <c r="D290" i="2"/>
  <c r="D4" i="2"/>
  <c r="C11" i="2"/>
  <c r="D18" i="2"/>
  <c r="D25" i="2"/>
  <c r="C33" i="2"/>
  <c r="C40" i="2"/>
  <c r="D47" i="2"/>
  <c r="D54" i="2"/>
  <c r="C61" i="2"/>
  <c r="D68" i="2"/>
  <c r="D75" i="2"/>
  <c r="C83" i="2"/>
  <c r="C90" i="2"/>
  <c r="D97" i="2"/>
  <c r="D104" i="2"/>
  <c r="C111" i="2"/>
  <c r="D118" i="2"/>
  <c r="D125" i="2"/>
  <c r="C133" i="2"/>
  <c r="C140" i="2"/>
  <c r="D147" i="2"/>
  <c r="D154" i="2"/>
  <c r="C161" i="2"/>
  <c r="D168" i="2"/>
  <c r="D175" i="2"/>
  <c r="C183" i="2"/>
  <c r="C190" i="2"/>
  <c r="D197" i="2"/>
  <c r="D204" i="2"/>
  <c r="C211" i="2"/>
  <c r="D218" i="2"/>
  <c r="D225" i="2"/>
  <c r="D233" i="2"/>
  <c r="D244" i="2"/>
  <c r="D260" i="2"/>
  <c r="C278" i="2"/>
  <c r="C87" i="2"/>
  <c r="C82" i="2"/>
  <c r="C77" i="2"/>
  <c r="C72" i="2"/>
  <c r="C67" i="2"/>
  <c r="C62" i="2"/>
  <c r="C57" i="2"/>
  <c r="C52" i="2"/>
  <c r="C47" i="2"/>
  <c r="C42" i="2"/>
  <c r="C37" i="2"/>
  <c r="C32" i="2"/>
  <c r="C27" i="2"/>
  <c r="C22" i="2"/>
  <c r="C17" i="2"/>
  <c r="C12" i="2"/>
  <c r="C7" i="2"/>
  <c r="O3" i="1"/>
  <c r="C296" i="2"/>
  <c r="C291" i="2"/>
  <c r="C281" i="2"/>
  <c r="C271" i="2"/>
  <c r="C261" i="2"/>
  <c r="C251" i="2"/>
  <c r="C241" i="2"/>
  <c r="C301" i="2"/>
  <c r="C286" i="2"/>
  <c r="C276" i="2"/>
  <c r="C266" i="2"/>
  <c r="C256" i="2"/>
  <c r="C246" i="2"/>
  <c r="C236" i="2"/>
  <c r="C226" i="2"/>
  <c r="C300" i="2"/>
  <c r="C295" i="2"/>
  <c r="C290" i="2"/>
  <c r="C285" i="2"/>
  <c r="C280" i="2"/>
  <c r="C275" i="2"/>
  <c r="C270" i="2"/>
  <c r="C265" i="2"/>
  <c r="C260" i="2"/>
  <c r="C255" i="2"/>
  <c r="C250" i="2"/>
  <c r="C245" i="2"/>
  <c r="C240" i="2"/>
  <c r="D303" i="2"/>
  <c r="D298" i="2"/>
  <c r="D293" i="2"/>
  <c r="D283" i="2"/>
  <c r="D278" i="2"/>
  <c r="D273" i="2"/>
  <c r="D268" i="2"/>
  <c r="D263" i="2"/>
  <c r="D258" i="2"/>
  <c r="D253" i="2"/>
  <c r="D248" i="2"/>
  <c r="D243" i="2"/>
  <c r="D302" i="2"/>
  <c r="D297" i="2"/>
  <c r="D292" i="2"/>
  <c r="D287" i="2"/>
  <c r="D282" i="2"/>
  <c r="D277" i="2"/>
  <c r="D272" i="2"/>
  <c r="D267" i="2"/>
  <c r="D262" i="2"/>
  <c r="D257" i="2"/>
  <c r="D252" i="2"/>
  <c r="D247" i="2"/>
  <c r="D242" i="2"/>
  <c r="C5" i="2"/>
  <c r="D12" i="2"/>
  <c r="D19" i="2"/>
  <c r="C26" i="2"/>
  <c r="D33" i="2"/>
  <c r="D40" i="2"/>
  <c r="C48" i="2"/>
  <c r="C55" i="2"/>
  <c r="D62" i="2"/>
  <c r="D69" i="2"/>
  <c r="C76" i="2"/>
  <c r="D83" i="2"/>
  <c r="D90" i="2"/>
  <c r="C98" i="2"/>
  <c r="C105" i="2"/>
  <c r="D112" i="2"/>
  <c r="D119" i="2"/>
  <c r="C126" i="2"/>
  <c r="D133" i="2"/>
  <c r="D140" i="2"/>
  <c r="C148" i="2"/>
  <c r="C155" i="2"/>
  <c r="D162" i="2"/>
  <c r="D169" i="2"/>
  <c r="C176" i="2"/>
  <c r="D183" i="2"/>
  <c r="D190" i="2"/>
  <c r="C198" i="2"/>
  <c r="C205" i="2"/>
  <c r="D212" i="2"/>
  <c r="D219" i="2"/>
  <c r="D227" i="2"/>
  <c r="D234" i="2"/>
  <c r="D245" i="2"/>
  <c r="C263" i="2"/>
  <c r="D279" i="2"/>
  <c r="D294" i="2"/>
  <c r="D5" i="2"/>
  <c r="C13" i="2"/>
  <c r="C20" i="2"/>
  <c r="D27" i="2"/>
  <c r="D34" i="2"/>
  <c r="C41" i="2"/>
  <c r="D48" i="2"/>
  <c r="D55" i="2"/>
  <c r="C63" i="2"/>
  <c r="C70" i="2"/>
  <c r="D77" i="2"/>
  <c r="D84" i="2"/>
  <c r="C91" i="2"/>
  <c r="D98" i="2"/>
  <c r="D105" i="2"/>
  <c r="C113" i="2"/>
  <c r="C120" i="2"/>
  <c r="D127" i="2"/>
  <c r="D134" i="2"/>
  <c r="C141" i="2"/>
  <c r="D148" i="2"/>
  <c r="D155" i="2"/>
  <c r="C163" i="2"/>
  <c r="C170" i="2"/>
  <c r="D177" i="2"/>
  <c r="D184" i="2"/>
  <c r="C191" i="2"/>
  <c r="D198" i="2"/>
  <c r="D205" i="2"/>
  <c r="C213" i="2"/>
  <c r="C220" i="2"/>
  <c r="C228" i="2"/>
  <c r="C235" i="2"/>
  <c r="C248" i="2"/>
  <c r="D264" i="2"/>
  <c r="D280" i="2"/>
  <c r="D295" i="2"/>
  <c r="C6" i="2"/>
  <c r="D13" i="2"/>
  <c r="D20" i="2"/>
  <c r="C28" i="2"/>
  <c r="C35" i="2"/>
  <c r="D42" i="2"/>
  <c r="D49" i="2"/>
  <c r="C56" i="2"/>
  <c r="D63" i="2"/>
  <c r="D70" i="2"/>
  <c r="C85" i="2"/>
  <c r="D92" i="2"/>
  <c r="D99" i="2"/>
  <c r="C106" i="2"/>
  <c r="D113" i="2"/>
  <c r="D120" i="2"/>
  <c r="C128" i="2"/>
  <c r="C135" i="2"/>
  <c r="D142" i="2"/>
  <c r="D149" i="2"/>
  <c r="C156" i="2"/>
  <c r="D163" i="2"/>
  <c r="D170" i="2"/>
  <c r="C178" i="2"/>
  <c r="C185" i="2"/>
  <c r="D192" i="2"/>
  <c r="D199" i="2"/>
  <c r="C206" i="2"/>
  <c r="D213" i="2"/>
  <c r="D220" i="2"/>
  <c r="D228" i="2"/>
  <c r="D235" i="2"/>
  <c r="D249" i="2"/>
  <c r="D265" i="2"/>
  <c r="C283" i="2"/>
  <c r="C298" i="2"/>
  <c r="C71" i="2"/>
  <c r="D14" i="2"/>
  <c r="D28" i="2"/>
  <c r="C43" i="2"/>
  <c r="D57" i="2"/>
  <c r="D78" i="2"/>
  <c r="C93" i="2"/>
  <c r="D114" i="2"/>
  <c r="D128" i="2"/>
  <c r="C143" i="2"/>
  <c r="D164" i="2"/>
  <c r="C193" i="2"/>
  <c r="C8" i="2"/>
  <c r="C15" i="2"/>
  <c r="D22" i="2"/>
  <c r="D29" i="2"/>
  <c r="C36" i="2"/>
  <c r="D43" i="2"/>
  <c r="D50" i="2"/>
  <c r="C58" i="2"/>
  <c r="C65" i="2"/>
  <c r="D72" i="2"/>
  <c r="D79" i="2"/>
  <c r="C86" i="2"/>
  <c r="D93" i="2"/>
  <c r="D100" i="2"/>
  <c r="C108" i="2"/>
  <c r="C115" i="2"/>
  <c r="D122" i="2"/>
  <c r="D129" i="2"/>
  <c r="C136" i="2"/>
  <c r="D143" i="2"/>
  <c r="D150" i="2"/>
  <c r="C158" i="2"/>
  <c r="C165" i="2"/>
  <c r="D172" i="2"/>
  <c r="D179" i="2"/>
  <c r="C186" i="2"/>
  <c r="D193" i="2"/>
  <c r="D200" i="2"/>
  <c r="C208" i="2"/>
  <c r="C215" i="2"/>
  <c r="D222" i="2"/>
  <c r="C230" i="2"/>
  <c r="C238" i="2"/>
  <c r="C253" i="2"/>
  <c r="D269" i="2"/>
  <c r="D285" i="2"/>
  <c r="D300" i="2"/>
  <c r="D7" i="2"/>
  <c r="C21" i="2"/>
  <c r="D35" i="2"/>
  <c r="C50" i="2"/>
  <c r="D64" i="2"/>
  <c r="D85" i="2"/>
  <c r="C100" i="2"/>
  <c r="D107" i="2"/>
  <c r="C121" i="2"/>
  <c r="D135" i="2"/>
  <c r="C150" i="2"/>
  <c r="D157" i="2"/>
  <c r="C171" i="2"/>
  <c r="D178" i="2"/>
  <c r="D185" i="2"/>
  <c r="C200" i="2"/>
  <c r="D207" i="2"/>
  <c r="D214" i="2"/>
  <c r="C221" i="2"/>
  <c r="D229" i="2"/>
  <c r="D237" i="2"/>
  <c r="D250" i="2"/>
  <c r="C268" i="2"/>
  <c r="D284" i="2"/>
  <c r="D299" i="2"/>
  <c r="D8" i="2"/>
  <c r="D15" i="2"/>
  <c r="C23" i="2"/>
  <c r="C30" i="2"/>
  <c r="D37" i="2"/>
  <c r="D44" i="2"/>
  <c r="C51" i="2"/>
  <c r="D58" i="2"/>
  <c r="D65" i="2"/>
  <c r="C73" i="2"/>
  <c r="C80" i="2"/>
  <c r="D87" i="2"/>
  <c r="D94" i="2"/>
  <c r="C101" i="2"/>
  <c r="D108" i="2"/>
  <c r="D115" i="2"/>
  <c r="C123" i="2"/>
  <c r="C130" i="2"/>
  <c r="D137" i="2"/>
  <c r="D144" i="2"/>
  <c r="C151" i="2"/>
  <c r="D158" i="2"/>
  <c r="D165" i="2"/>
  <c r="C173" i="2"/>
  <c r="C180" i="2"/>
  <c r="D187" i="2"/>
  <c r="D194" i="2"/>
  <c r="C201" i="2"/>
  <c r="D208" i="2"/>
  <c r="D215" i="2"/>
  <c r="C223" i="2"/>
  <c r="D230" i="2"/>
  <c r="D238" i="2"/>
  <c r="D254" i="2"/>
  <c r="D270" i="2"/>
  <c r="C288" i="2"/>
  <c r="C303" i="2"/>
  <c r="E4" i="7"/>
  <c r="C4" i="2"/>
  <c r="C9" i="2"/>
  <c r="C14" i="2"/>
  <c r="C19" i="2"/>
  <c r="C24" i="2"/>
  <c r="C29" i="2"/>
  <c r="C34" i="2"/>
  <c r="C39" i="2"/>
  <c r="C44" i="2"/>
  <c r="C49" i="2"/>
  <c r="C54" i="2"/>
  <c r="C59" i="2"/>
  <c r="C64" i="2"/>
  <c r="C69" i="2"/>
  <c r="C74" i="2"/>
  <c r="C79" i="2"/>
  <c r="C84" i="2"/>
  <c r="C89" i="2"/>
  <c r="C94" i="2"/>
  <c r="C99" i="2"/>
  <c r="C104" i="2"/>
  <c r="C109" i="2"/>
  <c r="C114" i="2"/>
  <c r="C119" i="2"/>
  <c r="C124" i="2"/>
  <c r="C129" i="2"/>
  <c r="C134" i="2"/>
  <c r="C139" i="2"/>
  <c r="C144" i="2"/>
  <c r="C149" i="2"/>
  <c r="C154" i="2"/>
  <c r="C159" i="2"/>
  <c r="C164" i="2"/>
  <c r="C169" i="2"/>
  <c r="C174" i="2"/>
  <c r="C179" i="2"/>
  <c r="C184" i="2"/>
  <c r="C189" i="2"/>
  <c r="C194" i="2"/>
  <c r="C199" i="2"/>
  <c r="C204" i="2"/>
  <c r="C209" i="2"/>
  <c r="C214" i="2"/>
  <c r="C219" i="2"/>
  <c r="C224" i="2"/>
  <c r="C229" i="2"/>
  <c r="C234" i="2"/>
  <c r="C239" i="2"/>
  <c r="C244" i="2"/>
  <c r="C249" i="2"/>
  <c r="C254" i="2"/>
  <c r="C259" i="2"/>
  <c r="C264" i="2"/>
  <c r="C269" i="2"/>
  <c r="C274" i="2"/>
  <c r="C279" i="2"/>
  <c r="C284" i="2"/>
  <c r="C289" i="2"/>
  <c r="C294" i="2"/>
  <c r="C299" i="2"/>
  <c r="C304" i="2"/>
  <c r="D6" i="2"/>
  <c r="D11" i="2"/>
  <c r="D16" i="2"/>
  <c r="D21" i="2"/>
  <c r="D26" i="2"/>
  <c r="D31" i="2"/>
  <c r="D36" i="2"/>
  <c r="D41" i="2"/>
  <c r="D46" i="2"/>
  <c r="D51" i="2"/>
  <c r="D56" i="2"/>
  <c r="D61" i="2"/>
  <c r="D66" i="2"/>
  <c r="D71" i="2"/>
  <c r="D76" i="2"/>
  <c r="D81" i="2"/>
  <c r="D86" i="2"/>
  <c r="D91" i="2"/>
  <c r="D96" i="2"/>
  <c r="D101" i="2"/>
  <c r="D106" i="2"/>
  <c r="D111" i="2"/>
  <c r="D116" i="2"/>
  <c r="D121" i="2"/>
  <c r="D126" i="2"/>
  <c r="D131" i="2"/>
  <c r="D136" i="2"/>
  <c r="D141" i="2"/>
  <c r="D146" i="2"/>
  <c r="D151" i="2"/>
  <c r="D156" i="2"/>
  <c r="D161" i="2"/>
  <c r="D166" i="2"/>
  <c r="D171" i="2"/>
  <c r="D176" i="2"/>
  <c r="D181" i="2"/>
  <c r="D186" i="2"/>
  <c r="D191" i="2"/>
  <c r="D196" i="2"/>
  <c r="D201" i="2"/>
  <c r="D206" i="2"/>
  <c r="D211" i="2"/>
  <c r="D216" i="2"/>
  <c r="D221" i="2"/>
  <c r="D226" i="2"/>
  <c r="D231" i="2"/>
  <c r="D236" i="2"/>
  <c r="D241" i="2"/>
  <c r="D246" i="2"/>
  <c r="D251" i="2"/>
  <c r="D256" i="2"/>
  <c r="D261" i="2"/>
  <c r="D266" i="2"/>
  <c r="D271" i="2"/>
  <c r="D276" i="2"/>
  <c r="D281" i="2"/>
  <c r="D286" i="2"/>
  <c r="D291" i="2"/>
  <c r="D296" i="2"/>
  <c r="D301" i="2"/>
  <c r="C92" i="2"/>
  <c r="C97" i="2"/>
  <c r="C102" i="2"/>
  <c r="C107" i="2"/>
  <c r="C112" i="2"/>
  <c r="C117" i="2"/>
  <c r="C122" i="2"/>
  <c r="C127" i="2"/>
  <c r="C132" i="2"/>
  <c r="C137" i="2"/>
  <c r="C142" i="2"/>
  <c r="C147" i="2"/>
  <c r="C152" i="2"/>
  <c r="C157" i="2"/>
  <c r="C162" i="2"/>
  <c r="C167" i="2"/>
  <c r="C172" i="2"/>
  <c r="C177" i="2"/>
  <c r="C182" i="2"/>
  <c r="C187" i="2"/>
  <c r="C192" i="2"/>
  <c r="C197" i="2"/>
  <c r="C202" i="2"/>
  <c r="C207" i="2"/>
  <c r="C212" i="2"/>
  <c r="C217" i="2"/>
  <c r="C222" i="2"/>
  <c r="C227" i="2"/>
  <c r="C232" i="2"/>
  <c r="C237" i="2"/>
  <c r="C242" i="2"/>
  <c r="C247" i="2"/>
  <c r="C252" i="2"/>
  <c r="C257" i="2"/>
  <c r="C262" i="2"/>
  <c r="C267" i="2"/>
  <c r="C272" i="2"/>
  <c r="C277" i="2"/>
  <c r="C282" i="2"/>
  <c r="C287" i="2"/>
  <c r="C292" i="2"/>
  <c r="C297" i="2"/>
</calcChain>
</file>

<file path=xl/sharedStrings.xml><?xml version="1.0" encoding="utf-8"?>
<sst xmlns="http://schemas.openxmlformats.org/spreadsheetml/2006/main" count="710" uniqueCount="419">
  <si>
    <t>Bill Item ID</t>
  </si>
  <si>
    <t>Bill No.</t>
  </si>
  <si>
    <t>Bill Title</t>
  </si>
  <si>
    <t>Item Name</t>
  </si>
  <si>
    <t>Status</t>
  </si>
  <si>
    <t>Budget Section</t>
  </si>
  <si>
    <t>Vendor</t>
  </si>
  <si>
    <t>Description</t>
  </si>
  <si>
    <t>Quantity</t>
  </si>
  <si>
    <t>Cost</t>
  </si>
  <si>
    <t>Total Cost</t>
  </si>
  <si>
    <t>Link</t>
  </si>
  <si>
    <t>File URL</t>
  </si>
  <si>
    <t>Person Requesting</t>
  </si>
  <si>
    <t>Remaining Allocation</t>
  </si>
  <si>
    <t>Column1</t>
  </si>
  <si>
    <t>Liquid - Stinger</t>
  </si>
  <si>
    <t>Non-bill Item - Update Manually</t>
  </si>
  <si>
    <t>Liquid - Microtransat</t>
  </si>
  <si>
    <t>Liquid - RoboSub</t>
  </si>
  <si>
    <t>Liquid - RobotX</t>
  </si>
  <si>
    <t>Liquid - Operations</t>
  </si>
  <si>
    <t>Liquid - Overhead</t>
  </si>
  <si>
    <t>S&amp;H and Taxes</t>
  </si>
  <si>
    <t>Misc</t>
  </si>
  <si>
    <t>Request 1</t>
  </si>
  <si>
    <t>Marine Robotics Group RobotX Gimbal Additions Bill</t>
  </si>
  <si>
    <t>SimpleBGC 32-bit CAN MCU</t>
  </si>
  <si>
    <t>bill approved</t>
  </si>
  <si>
    <t>B03 - General Inventoried Goods</t>
  </si>
  <si>
    <t>BaseCam</t>
  </si>
  <si>
    <t>gimbal control board</t>
  </si>
  <si>
    <t>https://shop.basecamelectronics.com/product/simplebgc-32-bit-can-drv-mcu/</t>
  </si>
  <si>
    <t>CAN IMU kit rev.C</t>
  </si>
  <si>
    <t>gimbal payload IMU</t>
  </si>
  <si>
    <t>https://shop.basecamelectronics.com/product/can-imu-kit/</t>
  </si>
  <si>
    <t>Storm32 BGC 32Bit 3-Axis</t>
  </si>
  <si>
    <t>Amazon</t>
  </si>
  <si>
    <t>backup low-power gimbal board</t>
  </si>
  <si>
    <t>https://www.amazon.com/Storm32-3-Axis-Brushless-Controller-DRV8313/dp/B0F48J5R3V/ref=sr_1_5?crid=3P9QY8SGQZKU9&amp;dib=eyJ2IjoiMSJ9.5Gw4AZd_nw8bju9HUKG2ObUe1f167IDHpmy3yzcNbE-gacJ-ayapsbsWRrtNdEj7-sV5TJPTfWhyU6dcRAxaSxQJdgr5j8gB5R0pL7ankOXzPDphuYjlSl5ZPrgC-hOo4lQ2EqyelpQkY8NHPmHt-8MJVEquDFghzgYybFEWR6rkgNt3SFfVEMjWSO_5tLebpfQT6CBgaxlhw_7u9GpBPSHVfcU15tG2hF1mJgV2X3M.rrZYH_Tm187aFWG_lQ7GFupurjIUYZG50jLNgIyIby4&amp;dib_tag=se&amp;keywords=3%2Baxis%2Bgimbal%2Bcontroller%2Bbgc&amp;qid=1783541343&amp;sprefix=3%2Baxis%2Bgimbal%2Bcontroller%2Bbg%2Caps%2C176&amp;sr=8-5&amp;th=1</t>
  </si>
  <si>
    <t>M12 5p right angle connector</t>
  </si>
  <si>
    <t>Mouser</t>
  </si>
  <si>
    <t>5p right angle connectors for cabling</t>
  </si>
  <si>
    <t>https://www.mouser.com/ProductDetail/Same-Sky/CPM1211-05A-01-FRA-P9-67?qs=4dK74SdgGtycRS6GHimeCA%3D%3D</t>
  </si>
  <si>
    <t>M12 5p straight connector</t>
  </si>
  <si>
    <t>5p straight connectors for cabling</t>
  </si>
  <si>
    <t>https://www.mouser.com/ProductDetail/Same-Sky/CPM1209-05A-01-FST-P9-67?qs=4dK74SdgGtwKbPB%252BF5akrw%3D%3D</t>
  </si>
  <si>
    <t>JST Connector Kit 1.25mm GH</t>
  </si>
  <si>
    <t>jst-gh cable kit</t>
  </si>
  <si>
    <t>https://www.amazon.com/Kidisoii-Connector-Premium-Pre-Crimped-Housing/dp/B0CKZCFC54/ref=sr_1_1_sspa?crid=2X6A17AWXKX1Q&amp;dib=eyJ2IjoiMSJ9.LfLONr8oTcVwbhziE5VTIjZS1SYjxASiKMUtCQCze5GQA_7W-s68WhlEc-z4_zGIgCSKMYenASggHq-pMlDazBOthD13bStdAPrNo4W4uTv7vHLNNIxtwMMXcNq1Vy37rRiMAdx26_7cKc0cBsd4wsa6Z0yzBIwoapzyg-oR0vKYaQD_Dj3Osdt6L6d7QhzzssrN7xUpXnQIbav8ke_47K9Vaj0qg4gi1Zn9YpqZhwo.M4ZFTohn4khIrK0dNGcBNyx2H0gjzn_L5ROgBNiUyS0&amp;dib_tag=se&amp;keywords=jst-gh&amp;qid=1783544945&amp;sprefix=jst-gh%2Caps%2C171&amp;sr=8-1-spons&amp;sp_csd=d2lkZ2V0TmFtZT1zcF9hdGY&amp;th=1</t>
  </si>
  <si>
    <t>1/4 inch and 1/2 inch Expandable Braided Cable Sleeve</t>
  </si>
  <si>
    <t>1/2" and 1/4" x 25ft snakeskin</t>
  </si>
  <si>
    <t>https://www.amazon.com/Keco-100ft-Expandable-Braided-Sleeving/dp/B08CKRLS2M/ref=sr_1_4?crid=2KJ2JQOVGWYL6&amp;dib=eyJ2IjoiMSJ9.Bx262d-qlXtKDTvASb9wJ2Htc-diM-zthGThw4taQUJjTjC6usKL41DfeTajurFco-G54hrHSyWQjmfyyJWTWBv2E5uZk8DmD41id1hVNFwdn8w92LslfuepjFpfcRcN2CiiYhG25Qm3QsZQJisMr4CQuVhM7ah7vbsqs9VEEj-WDN7sr1ekn0KVzfeTiCuArA1Y8eFtTzOgs9_eSovZUKw99fdolgjkuowZTu1cLkk.8FxAJIU3aqEXIsCRPae1gI_V1p0JMRZ15LF9G9CsgeU&amp;dib_tag=se&amp;keywords=snakeskin%2Bcable&amp;qid=1783545272&amp;sprefix=snakeskin%2Bcable%2Caps%2C157&amp;sr=8-4&amp;th=1</t>
  </si>
  <si>
    <t>2 Pack Plasti Dip Rubber Coating Spray</t>
  </si>
  <si>
    <t>plastidip spray 2 pack</t>
  </si>
  <si>
    <t>https://www.amazon.com/Plasti-Dip-Black-Aerosol-Spray/dp/B0093B541M/ref=sr_1_1?crid=2S23DB5ZZA8NU&amp;dib=eyJ2IjoiMSJ9.PGmYG1c23QNEwNUOxb25AUxUopgrzwx5RIobWEfTG1wYN-2jz2Zu8DfMsf__UAuwmZ2evJAoKMfQfcKjVLFvNMN_U9uImySiXmgDsGDi_FuLm34hsvIezG1Gfi5RDR0KOTftSG1Sh0moBPd4g1Hqqk-tOB5s2FDQWwX3-7DwHPpdVZmrf59syS6N7nOpjnhp90cqk6mtaLYSUWezlQO9aLGzlhJC2BzMbeLI7WVcJsFmVHh0WUU-HDHJjOVpEGzhPLPHKnNffEg_X5s_Fg70gYVvoQEpMI0oZu_c3QiirMs.n-O55OEfMdyOWnH-WACT3NetdfHAcn0L_bTZaOqhmk8&amp;dib_tag=se&amp;keywords=plastidip+spray&amp;qid=1783545690&amp;sprefix=plastidip+spray%2Caps%2C156&amp;sr=8-1</t>
  </si>
  <si>
    <t>22AWG 12 core wire</t>
  </si>
  <si>
    <t>12 core cable x 25 ft</t>
  </si>
  <si>
    <t>https://www.amazon.com/KWANGIL-22AWG-Conductor-Cable-UL2464/dp/B0CSD5QZ21/ref=sr_1_1_sspa?crid=1M4KIIO1XAZHI&amp;dib=eyJ2IjoiMSJ9.1UCy7-wmybPHwUno35hLhQ6GbwjQt2doBLYMtjBWuPsPvxZEvmNJLyHQTtWE-23iXmXV3Vp0IP29cfki9s5V06CYOhMFOfk4NfwUSMMkEzCyig_UbwhWgPdPF5fXRGLPydAm2uif9ipj3DSxJuqCJa5v8nC4yKFT07MoGZggj5_a2PwVmHpwq7X7CwcPkMCeIWiRou-WuLBCirLl7VJ7btto3o6XNka4pb4RH8tJBzKUrAsMQY9WNgwLlN5F0uorXFYNT95Xx9A3Y7DaGv0khq-hI6wsrsYBgFHPsWyO3p0.cn-VBvzJsuFf-215Z-2tMNJIgqM3_IMGTjfpje8Wuz4&amp;dib_tag=se&amp;keywords=12%2Bcore%2Bwire&amp;qid=1783545779&amp;sprefix=12%2Bcore%2Bwir%2Caps%2C148&amp;sr=8-1-spons&amp;sp_csd=d2lkZ2V0TmFtZT1zcF9hdGY&amp;th=1</t>
  </si>
  <si>
    <t>M12 12p right angle connector</t>
  </si>
  <si>
    <t>12p right angle connectors for cabling</t>
  </si>
  <si>
    <t>https://www.mouser.com/ProductDetail/523-M12A12BFFASR7001</t>
  </si>
  <si>
    <t>M12 12p straight connector</t>
  </si>
  <si>
    <t>12p straight connectors for cabling</t>
  </si>
  <si>
    <t>https://www.mouser.com/ProductDetail/Same-Sky/CPM1213-12A-01-FST-P7-67?qs=4dK74SdgGtxetMZmn3x4gA%3D%3D</t>
  </si>
  <si>
    <t>Small JST Crimp</t>
  </si>
  <si>
    <t>crimp for tiny connectors (28 AWG)</t>
  </si>
  <si>
    <t>https://www.amazon.com/PEBA-Crimping-JST-SH-Connectors-Terminal/dp/B0D7PKLBZT/ref=sr_1_2_sspa?crid=NGQCPWKDE1OD&amp;dib=eyJ2IjoiMSJ9.eTYUifFFdbAbr3VMTuQ9XiEIJLy0InAl76j74Oe8EbbFC4838qtX2iMAE6OeP1EDAiwlgdUDa4pFe6FtBrFUY5HkreX4ZhchCz5RXl1jugNBZ5R0DnX8wYtF2Ub0r3ubDbfYku3LHsBbYOZTTCRFhLdK_Mq8u2mSrjCV9jMeT-lmOnaj4x8EAWTYh2Fevc86T6-_KftP_2Tq5UzFB_DGmw8PdDM97aXNjM-F7nMcmdU.6IB36ruB7aLJRUQIGza11sPOvmc6KawG3zmsklt7ctI&amp;dib_tag=se&amp;keywords=jst-gh&amp;qid=1783547035&amp;sprefix=jst-gh%2Caps%2C180&amp;sr=8-2-spons&amp;sp_csd=d2lkZ2V0TmFtZT1zcF9hdGY&amp;th=1</t>
  </si>
  <si>
    <t>Request 2</t>
  </si>
  <si>
    <t>Marine Robotics Group RobotX Robobuoy Bill</t>
  </si>
  <si>
    <t>2m IP67 LED Strip (144LED/m)</t>
  </si>
  <si>
    <t>bill submitted</t>
  </si>
  <si>
    <t>light beacon part</t>
  </si>
  <si>
    <t>https://www.amazon.com/dp/B09MKSVV5H?lv=shuf&amp;th=1&amp;_encoding=UTF8&amp;social_share=cm_sw_r_cp_ud_dp_29XRS19P2QCA9V7W8RP9&amp;channelId=751&amp;plpRedirect=mhFallback</t>
  </si>
  <si>
    <t>8x8 LED Matrix</t>
  </si>
  <si>
    <t>https://www.amazon.com/dp/B01DC0IMRW?lv=shuf&amp;th=1&amp;social_share=cm_sw_r_cp_ud_dp_MNH40WZV2WTVTFC1F2EJ&amp;channelId=751&amp;plpRedirect=mhFallback</t>
  </si>
  <si>
    <t>Waterproof Junction Box</t>
  </si>
  <si>
    <t>light beacon enclosure (penetrators included)</t>
  </si>
  <si>
    <t>https://www.amazon.com/dp/B0BR52TF9M?lv=shuf&amp;th=1&amp;social_share=cm_sw_r_cp_ud_dp_GDFZK1EQKKXW86AT9BEQ&amp;channelId=751&amp;plpRedirect=mhFallback</t>
  </si>
  <si>
    <t>ESP32 Microcontroller</t>
  </si>
  <si>
    <t>microcontrollers for light beacons (x3)</t>
  </si>
  <si>
    <t>https://www.amazon.com/ESP-WROOM-32-Development-Microcontroller-Integrated-Compatible/dp/B08D5ZD528?th=1</t>
  </si>
  <si>
    <t>Flywoo Explorer BAK P45D 21700 4S2P 9000mAh Lionpack Battery</t>
  </si>
  <si>
    <t>Flywoo</t>
  </si>
  <si>
    <t>batteries for light beacon</t>
  </si>
  <si>
    <t>https://flywoo.net/products/flywoo-explorer-molicell-p45b-21700-4s2p-9000mah-lionpack-battery</t>
  </si>
  <si>
    <t>3/4in x 10ft long Schedule 40 PVC Pipe</t>
  </si>
  <si>
    <t>Home Depot</t>
  </si>
  <si>
    <t>Only 14.5 ft needed for one RoboBuoy</t>
  </si>
  <si>
    <t>https://www.homedepot.com/p/Charlotte-Pipe-3-4-in-x-10-ft-PVC-Schedule-40-Pressure-Plain-End-Pipe-PVC-04007-0600/100348472#overlay</t>
  </si>
  <si>
    <t>3/4in Schedule 40 PVC SxSxS Tee</t>
  </si>
  <si>
    <t>Also used to replace PVC Snap-On Saddle</t>
  </si>
  <si>
    <t>https://www.homedepot.com/p/Charlotte-Pipe-3-4-in-Schedule-40-S-x-S-x-S-Tee-PVC024000800HD/203812197#overlay</t>
  </si>
  <si>
    <t>3/4in Schedule 40 PVC 90° SxS Elbow</t>
  </si>
  <si>
    <t>RoboBuoy part</t>
  </si>
  <si>
    <t>https://www.homedepot.com/p/Charlotte-Pipe-3-4-in-PVC-Schedule-40-90-S-x-S-Elbow-Fitting-PVC023000800HD/203812123</t>
  </si>
  <si>
    <t>3/4in Schedule 40 PVC 45° SxS Elbow</t>
  </si>
  <si>
    <t>https://www.homedepot.com/p/DURA-3-4-in-Schedule-40-PVC-45-Degree-Elbow-C417-007/100346876</t>
  </si>
  <si>
    <t>3/4in Schedule 40 PVC Cross</t>
  </si>
  <si>
    <t>www.homedepot.com/p/Charlotte-Pipe-3-4-in-PVC-Schedule-40-S-x-S-x-S-x-S-Cross-PVC024100600HD/203812455</t>
  </si>
  <si>
    <t>White Corrugated Plastic Sheet (0.157" thick, 2ft x 3ft)</t>
  </si>
  <si>
    <t>https://www.homedepot.com/p/Coroplast-36-in-x-24-in-x-0-157-in-4mm-White-Corrugated-Twinwall-Plastic-Sheet-COR-2436/202090128</t>
  </si>
  <si>
    <t>3in Diameter Jumbo Pool Noodles</t>
  </si>
  <si>
    <t>Walmart</t>
  </si>
  <si>
    <t>https://www.walmart.com/ip/10-pack-Big-Joe-Swim-Pool-Noodle-Single-Unit-Pink-50-inches-long/7769521313</t>
  </si>
  <si>
    <t>Request 3</t>
  </si>
  <si>
    <t>Marine Robotics Group RobotX Testing Equipment Bill</t>
  </si>
  <si>
    <t xml:space="preserve">N type connector  replacement </t>
  </si>
  <si>
    <t>bill requested</t>
  </si>
  <si>
    <t>N-type bulkhead connector for antennas</t>
  </si>
  <si>
    <t>https://www.amazon.com/XRDS-RF-2PCS-Female-Bulkhead-Connector/dp/B08J7XDWFL</t>
  </si>
  <si>
    <t>hose</t>
  </si>
  <si>
    <t xml:space="preserve">hose for cleaning off boats </t>
  </si>
  <si>
    <t>https://www.amazon.com/dp/B0CPTD1V2B/ref=sspa_dk_detail_right_aax_0?sp_csd=d2lkZ2V0TmFtZT1zcF9kZXRhaWxfcmlnaHRfc2hhcmVk&amp;th=1</t>
  </si>
  <si>
    <t>carabiner</t>
  </si>
  <si>
    <t>stainless steel carabiners</t>
  </si>
  <si>
    <t>https://www.amazon.com/sprookber-Stainless-Carabiner-Outdoor-Hammock/dp/B0FDQX3244/ref=sxin_18_pa_sp_search_thematic_sspa?content-id=amzn1.sym.8eb671a2-a903-4c3a-b962-ebb867a4f8f8%3Aamzn1.sym.8eb671a2-a903-4c3a-b962-ebb867a4f8f8&amp;crid=3MYVCEFK7HK1X&amp;cv_ct_cx=stainless%2Bsteel%2Bcarabiners%2Bmarine%2Bgrade&amp;keywords=stainless%2Bsteel%2Bcarabiners%2Bmarine%2Bgrade&amp;pd_rd_i=B0FDQX871F&amp;pd_rd_r=a5552fd8-b23c-4b4c-a99f-ebc1dc73634d&amp;pd_rd_w=DYDBC&amp;pd_rd_wg=lLBqU&amp;pf_rd_p=8eb671a2-a903-4c3a-b962-ebb867a4f8f8&amp;pf_rd_r=E8WV36H38SR1YHNJ5SMB&amp;qid=1785963950&amp;sbo=RZvfv%2F%2FHxDF%2BO5021pAnSA%3D%3D&amp;sprefix=carabiners%2Bmarine%2Bstainless%2Bs%2Caps%2C218&amp;sr=1-1-6024b2a3-78e4-4fed-8fed-e1613be3bcce-spons&amp;aref=ZLjRwj2JdK&amp;sp_csd=d2lkZ2V0TmFtZT1zcF9zZWFyY2hfdGhlbWF0aWM&amp;th=1</t>
  </si>
  <si>
    <t>anchors</t>
  </si>
  <si>
    <t>folding kayak anchor</t>
  </si>
  <si>
    <t>https://www.amazon.com/Moclear-Kayak-Anchor-Kit-Compact/dp/B0DN6C493H/ref=sr_1_1_sspa?channelId=500&amp;clpRedir=Y&amp;dib=eyJ2IjoiMSJ9.0Csbuq-qJSG5DpRGPGolJHZAtaJg73cdWycZduB-FGYcNTickuTakV0aJjof9X_cN-W_xjxI0yua6IvNBQ6l5LwvDGRFIQW2zFy_9vRFE6MGtFZpH6dOyg1pkFBTEDpvBt3uD01-qRgjvPAp5nSS8BU1UYEwJxUndVi_lewmIZ9TaoYwsl_xu5rRShH5H0Fb_bctbVFAPSkCvtQDoFW2r-rW7fY0f9L8HC-AxYR-aKSc9501eHadYBdyhuZXRoFMfCFXXvCpty6BMAz4SCCN51qStfH-J7HgeF1ftGO_Edw.Hic6hOCd0l8mUQeNbS7GLp3tZ-M0ay5BvJGxPmN-jDg&amp;dib_tag=se&amp;keywords=kayak%2Banchor&amp;plpRedirect=mhFallback&amp;qid=1786028497&amp;sr=8-1-spons&amp;sp_csd=d2lkZ2V0TmFtZT1zcF9hdGY&amp;th=1</t>
  </si>
  <si>
    <t>traction mat</t>
  </si>
  <si>
    <t>https://www.amazon.com/EVTIME-Emergency-Traction-Mats-Portable-Sand-Used/dp/B08D88V17G/ref=sr_1_1_sspa?crid=DDB4U17NHXXD&amp;dib=eyJ2IjoiMSJ9.ZcuxtLHgHdHkAi6hl3Dkos084vbg53g0K4i72Y9OfU62_ouUKam2uyd4xBolVX22VSUHreKbdheW9aDbECPcpKefCqNAAGfRZRvtiG4rVzygf8MH9jUm01zf6uzpZNGbmCNjIwyNssP1vygnDrG1C8KB4Zz4MVnET2TMk-kOG9LOy8ezIDoIyCQ6Vf8j07k8zGEtm6J9BGtRWzspkqQhwiYoxZk3iSEATb6CW42Kjrc.BZdBcDLD5A-SYz_QnWyM_8Ukuy21MZrkQTXxNEdEX4I&amp;dib_tag=se&amp;keywords=traction+mats&amp;qid=1785964756&amp;sprefix=traction+mat%2Caps%2C238&amp;sr=8-1-spons&amp;sp_csd=d2lkZ2V0TmFtZT1zcF9hdGY&amp;psc=1</t>
  </si>
  <si>
    <t>large rope</t>
  </si>
  <si>
    <t>three eighths rope</t>
  </si>
  <si>
    <t>https://www.amazon.com/Polypropylene-Ropes-Strength-Clothesrope-Activities/dp/B0FN32Q4QB/ref=sxin_18_pa_sp_search_thematic_sspa?content-id=amzn1.sym.8eb671a2-a903-4c3a-b962-ebb867a4f8f8%3Aamzn1.sym.8eb671a2-a903-4c3a-b962-ebb867a4f8f8&amp;crid=9LNTUSKWDL8R&amp;cv_ct_cx=twisted%2Bnylon%2Brope%2B1%2F4%2Bin&amp;keywords=twisted%2Bnylon%2Brope%2B1%2F4%2Bin&amp;pd_rd_i=B0BTS1N2G6&amp;pd_rd_r=a57fd4f4-c5f4-4ab2-83ec-5f94497eeb64&amp;pd_rd_w=mSxTf&amp;pd_rd_wg=9NChd&amp;pf_rd_p=8eb671a2-a903-4c3a-b962-ebb867a4f8f8&amp;pf_rd_r=6WJKGD96JKJ1E042H3ME&amp;qid=1785962932&amp;sbo=RZvfv%2F%2FHxDF%2BO5021pAnSA%3D%3D&amp;sprefix=twisted%2Bnylon%2Brope%2B1%2F4%2Bin%2Caps%2C191&amp;sr=1-1-6024b2a3-78e4-4fed-8fed-e1613be3bcce-spons&amp;aref=CiGaNFJvzd&amp;sp_csd=d2lkZ2V0TmFtZT1zcF9zZWFyY2hfdGhlbWF0aWM&amp;th=1</t>
  </si>
  <si>
    <t>small rope</t>
  </si>
  <si>
    <t>quarter inch rope; 3 pack</t>
  </si>
  <si>
    <t>https://www.amazon.com/Polypropylene-25ft-Clothesrope-Activities-3Pack/dp/B0DGFR4CS8/ref=sr_1_27?crid=2LBPJ2ET4ZTZ1&amp;dib=eyJ2IjoiMSJ9.63q7-3VUgF7D1UcPbt3ZLKOUR7qZGRNQWaYTgiLgFws6vNJBKh24MXrEsF4WEwG--0uNPN62IkEkJ5WOYHLi1q9iTa2DRHekHRWNPUuTHTyQtuph65Dwwiq0T7Co5dj6T-QgRXOg6CdPeDaIzBiJF7x08YA0pcDAoZvoWBYXnQBwLwRX4QoDqn-mniy5Gc_JbavH0ihq8KyrWOwPzeNU4IuNjrqJZ_OlTzTbWJpWN-rWhHxi0IKnooCGS2vD4Re8MChYpfG8Bv7V1iFYBk-2kA4JYpRlTDIZjVjbLsDgz_4.3-FcOFfFLg3W7KjR5l3YjyeJVRuHkGBeYY0mQwfYM9c&amp;dib_tag=se&amp;keywords=1%2F4%2Bin%2Bpolypropylene%2Brope&amp;qid=1786028852&amp;sprefix=1%2F4%2Bin%2Bpolyprop%2Caps%2C191&amp;sr=8-27&amp;th=1</t>
  </si>
  <si>
    <t>antenna mount</t>
  </si>
  <si>
    <t>Blue Robotics</t>
  </si>
  <si>
    <t>antenna mount for better range</t>
  </si>
  <si>
    <t>https://bluerobotics.com/store/boat/blueboat-accessories/blueboat-antenna-and-accessory-mast/</t>
  </si>
  <si>
    <t>manual bottle pump</t>
  </si>
  <si>
    <t xml:space="preserve">portable device to clean off boats in the field </t>
  </si>
  <si>
    <t>https://www.amazon.com/Hydrospike-Super-Sprayer-Watering-Moisturizer/dp/B00BIU5QPU/ref=sr_1_2?crid=3SEI7JB2A6PD5&amp;dib=eyJ2IjoiMSJ9.GvclpYerhQkkNUXNfPYgoAZcsvO-Pwkvh76xFus2iK3RsnSJN3MRasnALxnd5tcHaeAoguHdIxVM0jZYm6VosvucXdmTpXfLWxi7RFQKMDEFMyDcVjOaKRUqRmcGIzii7wUe-n3nrsDc4kgfzUQ4Po4kHuSClqkqZBEJinGPJedDv6srmQKBDZozL0jPUnWAidPYD7qlrIAbvfJ6TrWTHvlxWWZXpmcDe3H6lNUOXh-yb-HudcBg7DsCaZBMqmO1A4kJ1mX7yDE6AlcuuM0wyLIWYO_2XgpjsrpJuQV7uYg.HgIEUKcJYHvh0hW0qVHQ6MBpmZc55fV14KL1rAMLahY&amp;dib_tag=se&amp;keywords=bottle+head+pump+high+pressure&amp;qid=1785962302&amp;sprefix=bottle+head+pump+high+presu%2Caps%2C185&amp;sr=8-2</t>
  </si>
  <si>
    <t>ethernet bulkhead connectors</t>
  </si>
  <si>
    <t>bulkhead connector for ethernet</t>
  </si>
  <si>
    <t>https://www.amazon.com/Waterproof-Lonlonty-Shielded-Industrial-Connector/dp/B0FBFX1QJX/ref=sr_1_3?crid=1DRJYBXL4KE57&amp;dib=eyJ2IjoiMSJ9.0vN9B6xTFDxZQ1SO3ILA_mDKR2fKUqprlY2LTkEq5PPJqGl-fwwGwRSAC0chMq32mMTqEdWcYljqhsR_a0L-7hy3wefNZV-jaNreSm_7jZlirDZ--sF7Pi7_kpxzD41YdSFgJMwOcnZkqsjEoGHcqTh-ywPBJSmcrQosd_VP4Xg2fZmDGDeIJDH6OssEn8Jz94bCk0CjVIVZijN72WkjFOuqP-I9cVA1uBqZXDGNIjI.pCw2Va-Ji3-iVfzpF9zw4gxxdJwXVFNbiquaHtLcoF0&amp;dib_tag=se&amp;keywords=ethernet%2Bbulkhead&amp;qid=1785970660&amp;sprefix=ethernet%2Bbul%2Caps%2C772&amp;sr=8-3&amp;th=1</t>
  </si>
  <si>
    <t>Pi Pico</t>
  </si>
  <si>
    <t>microcontrollers for prototyping</t>
  </si>
  <si>
    <t>https://www.amazon.com/Raspberry-Pi-Pico-Development-Integrated/dp/B0BDLHMQ9C/ref=sr_1_3?crid=1H99PE3XVELQM&amp;dib=eyJ2IjoiMSJ9.05cMFTHLT2becAUp6LXKOptgrrytrqAsQY_Ir4Lx4cb6rYUd1sOZ15f-ZKcNuCrZBcBxNxsTotZpu5ODmQSq49OKJZ2JA4BSm262NeFEwNxOZvMyFIEu4bPN4C4qR3frtIk_v8RSrNeQH9FMKnxHcVy24qvYSQYxysHdksNr5qWqfzOD9WIVDx3LdCAPmBPg3oairB56ndK25hg7PAvZfmx04QNihD6rQ8ApS9jcS7Zc_CxFuFsXI3D5fY8HNNq51d1aKme3dTuC2MS1reiZUfGCpe5rGnbJuEY6PQwVigM.DTYZIj6DV32sUA3mPvRM-ENuEG9md-lZD5RRRCG9P28&amp;dib_tag=se&amp;keywords=pi+pico+pack&amp;qid=1786032699&amp;s=electronics&amp;sprefix=pi+pico+pack%2Celectronics%2C221&amp;sr=1-3</t>
  </si>
  <si>
    <t>TOTALS</t>
  </si>
  <si>
    <t>Order ID (YYMMDD_vendor_gburdell3)</t>
  </si>
  <si>
    <t>Purchaser</t>
  </si>
  <si>
    <t>Allocation</t>
  </si>
  <si>
    <t>Cost Overrun</t>
  </si>
  <si>
    <t>Purchasing Method</t>
  </si>
  <si>
    <t>Column2</t>
  </si>
  <si>
    <t>International RobotX Flights</t>
  </si>
  <si>
    <t>C01 - Air Travel</t>
  </si>
  <si>
    <t>Turkish Airlines</t>
  </si>
  <si>
    <t>Since the competition is in November 2026 and we can't pick flights that far out, we chose flights that were 2-3 months from now.</t>
  </si>
  <si>
    <t>International RobotX Flights.png</t>
  </si>
  <si>
    <t>International RobotX Lodging</t>
  </si>
  <si>
    <t>C03 - Lodging</t>
  </si>
  <si>
    <t>Conrad Singapore Marina Bay</t>
  </si>
  <si>
    <t>8 students, 8 nights, capped at 40 per lodger</t>
  </si>
  <si>
    <t>International RobotX Lodging.png</t>
  </si>
  <si>
    <t>SailBot Transportation (Gas)</t>
  </si>
  <si>
    <t>C02 - Personal Vehicle Travel</t>
  </si>
  <si>
    <t>6 students, 1839 round-trip miles from John Lewis Student Center to Cornell University, IRS standard mileage $0.70; formula gives $3000+ which &gt;&gt; 6*75</t>
  </si>
  <si>
    <t>OK</t>
  </si>
  <si>
    <t>SailBot Lodging</t>
  </si>
  <si>
    <t>6 students, $40 per lodger, 6 nights</t>
  </si>
  <si>
    <t>SailBot Lodging.png</t>
  </si>
  <si>
    <t>RoboSub Registration Fee</t>
  </si>
  <si>
    <t>10 participants x 150 per participant</t>
  </si>
  <si>
    <t>https://robonation.gitbook.io/robosub-resources/section-6-how-to-compete/6.1-registration</t>
  </si>
  <si>
    <t>RoboSub Flights</t>
  </si>
  <si>
    <t>10 travelers capped at 150, round-trip flights to San Diego can easily cost more than $150</t>
  </si>
  <si>
    <t>RoboSub Flights.png</t>
  </si>
  <si>
    <t>RoboSub Lodging</t>
  </si>
  <si>
    <t>10 lodgers x 7 nights capped at 40 per lodger</t>
  </si>
  <si>
    <t>RoboSub Lodging.png</t>
  </si>
  <si>
    <t>Foam sheets</t>
  </si>
  <si>
    <t>B06 - Non-Inventoried Items</t>
  </si>
  <si>
    <t>Lowes</t>
  </si>
  <si>
    <t>Our surface vehicles structures are typically built out of closed-cell foam</t>
  </si>
  <si>
    <t>https://www.lowes.com/pd/Owens-Corning-FOAMULAR-NGX-F-250-2-in-x-48-in-x-96-in-Scored-Square-Edge-XPS-Rigid-Foam-Board-Insulation/5005553115</t>
  </si>
  <si>
    <t>Foam sheets.png</t>
  </si>
  <si>
    <t>Fiberglass</t>
  </si>
  <si>
    <t>Total Boat</t>
  </si>
  <si>
    <t>Our surface vehicles are typically laminated with fiberglass and epoxy</t>
  </si>
  <si>
    <t>https://www.totalboat.com/collections/fiberglass/products/4-oz-fiberglass-cloth</t>
  </si>
  <si>
    <t>Fiberglass.png</t>
  </si>
  <si>
    <t>Epoxy</t>
  </si>
  <si>
    <t>https://www.totalboat.com/collections/resins/products/5-1-marine-epoxy-resin-kits</t>
  </si>
  <si>
    <t>Epoxy.png</t>
  </si>
  <si>
    <t>Plywood sheets</t>
  </si>
  <si>
    <t>National Balsa</t>
  </si>
  <si>
    <t>Our decks are often constructed with wood sheets</t>
  </si>
  <si>
    <t>https://www.nationalbalsa.com/products/3161248bp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</si>
  <si>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lywood%20sheets%2Epng&amp;parent=%2Fsites%2FMarineRoboticsGroup%2FShared%20Documents%2FOPS%2D1%20Operations%2FFall%202025%20Finances%2FFall%202025%20Bill%20Proof%2FMarine%20Robotics%20Group%20FY27%20Budget</t>
  </si>
  <si>
    <t>Acrylic sheets</t>
  </si>
  <si>
    <t>Our waterproof interfaces are typically constructed with acrylic sheets</t>
  </si>
  <si>
    <t>https://www.homedepot.com/p/OPTIX-36-in-x-48-in-x-0-093-3-32-in-Clear-Acrylic-Sheet-MC-09/202038045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</si>
  <si>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Acrylic%20sheets%2Epng&amp;parent=%2Fsites%2FMarineRoboticsGroup%2FShared%20Documents%2FOPS%2D1%20Operations%2FFall%202025%20Finances%2FFall%202025%20Bill%20Proof%2FMarine%20Robotics%20Group%20FY27%20Budget</t>
  </si>
  <si>
    <t>2x4 Dimensional Lumber</t>
  </si>
  <si>
    <t>We often require jigs and stands for our vehicles constructed from 2x4 lumber</t>
  </si>
  <si>
    <t>https://www.homedepot.com/p/2-in-x-4-in-x-10-ft-2-Premium-Grade-SPF-Dimensional-Lumber-6091/314732316</t>
  </si>
  <si>
    <t>2x4 Dimensional Lumber.png</t>
  </si>
  <si>
    <t>SMD Integrated Circuits</t>
  </si>
  <si>
    <t>We require SMD ICs to adjust voltage or sense in our electronics</t>
  </si>
  <si>
    <t>https://www.amazon.com/Electronic-Components-Assortment-Transistors-Switching/dp/B0BXHNX1BJ/ref=pd_bxgy_d_sccl_1/131-0065994-2779010?pd_rd_w=UiC4g&amp;content-id=amzn1.sym.de9a1315-b9df-4c24-863c-7afcb2e4cc0a&amp;pf_rd_p=de9a1315-b9df-4c24-863c-7afcb2e4cc0a&amp;pf_rd_r=T6KA22QB5CZ1QRMQQH5E&amp;pd_rd_wg=1wr5d&amp;pd_rd_r=01084fa8-5187-4400-826a-c95a8486d7ba&amp;pd_rd_i=B0BXHNX1BJ&amp;psc=1</t>
  </si>
  <si>
    <t>SMD Integrated Circuits.png</t>
  </si>
  <si>
    <t>THT Capacitor</t>
  </si>
  <si>
    <t>We need capcitors for our electronics</t>
  </si>
  <si>
    <t>https://www.amazon.com/BOJACK-Electrolytic-Capacitor-Assortment-0-1uF%EF%BC%8D1000uF/dp/B07PBQXQNQ/ref=pd_bxgy_d_sccl_1/131-0065994-2779010?pd_rd_w=0XRwa&amp;content-id=amzn1.sym.de9a1315-b9df-4c24-863c-7afcb2e4cc0a&amp;pf_rd_p=de9a1315-b9df-4c24-863c-7afcb2e4cc0a&amp;pf_rd_r=3GBDM4J7FSXAJFG9Y84R&amp;pd_rd_wg=1jwFK&amp;pd_rd_r=07a908f5-0921-4339-8258-e5e17a238c2f&amp;pd_rd_i=B07PBQXQNQ&amp;psc=1</t>
  </si>
  <si>
    <t>THT Capacitor.png</t>
  </si>
  <si>
    <t>SMD Electrical Components</t>
  </si>
  <si>
    <t>We need surface mount components for our electronics</t>
  </si>
  <si>
    <t>https://www.amazon.com/1206-Capacitors-Electronic-Components-Book/dp/B0B2ZSXLV9?crid=373O4CHUMKOHU&amp;dib=eyJ2IjoiMSJ9.KmCiHcgyo5Tw2AIwGztdmi_TJeiuKfnKhzk_OUXYOAZS4VPjHANAlxWZMPosTVXUU7psn_Mc9J2QdeRm1OMhlufOU-xJeQtePyf_IvQfkiYMvNCfQABLU4GgtkDdchyQ4bLBL-1N9yo4e-iZx2L8GI8wfCKd8dyAY76mdi8SF4gW2lhyrQy0Xc4Jke0yZkzYHHxQZ42L5GOXY0EoyZM6pZx84cLvMMoza0sG0G7QCyo.wlKBMFleQcbiHj-Pnq1egWVCBNYHeuHTakcqRY2rxxA&amp;dib_tag=se&amp;keywords=assorted%2Bsmd%2Bcomponents&amp;qid=1761946896&amp;sprefix=assorted%2Bsmd%2Bcomponent%2Caps%2C122&amp;sr=8-2&amp;th=1</t>
  </si>
  <si>
    <t>SMD Electrical Components.png</t>
  </si>
  <si>
    <t>THT Resistor</t>
  </si>
  <si>
    <t>We need through hole resistor for our electronics</t>
  </si>
  <si>
    <t>https://www.amazon.com/EEEEE-Resistor-Compliant-resistors-Assortment/dp/B08BNDL6DS?crid=EJDGB8SNRXMO&amp;dib=eyJ2IjoiMSJ9.AWTb0VWj_VeGON_MhSkmP2fSaYvP2_Uwa1UvT8hlJ5RDsN5xlpBl-8Rj2cc8R8Y-81eWZt49blUAyWhB-c5eVgXDIYW2tfLObMRy4nzzXkw0JKbUk5DYDd8_R-oR_KUywcLLAXCydqhCskhlC018HKuxTH_BbYlLuf7krhtZBXeplM5Kj6jdinnDdUedkQAK5AUxMxu5I0pTNY3ZLIyDteqZ2QbIj_ZJWVrl5mT-eNs.DpLJqYY_PxaP6_aqJ_2F4szNCJrEfeas5GdY0WdfLcg&amp;dib_tag=se&amp;keywords=assorted+through+hole+components&amp;qid=1761946939&amp;sprefix=assorted+through+hole+components%2Caps%2C89&amp;sr=8-3</t>
  </si>
  <si>
    <t>THT Resistor.png</t>
  </si>
  <si>
    <t>xt60 Power Connector</t>
  </si>
  <si>
    <t>We need power connectors for our electronics</t>
  </si>
  <si>
    <t>https://www.amazon.com/Amass-Bullet-Connector-Upgrated-Sheath/dp/B07Y37X6L7?crid=32T0FA0SHTXQI&amp;dib=eyJ2IjoiMSJ9.tWcrhNH0puUssHPwcLXvKKwoqV64fzQB95qDEx86i4lj6IjfcQ-ObC-sB5k-Tpn2sH6AAjIaGJxmt2fs42lOzVLXkf7EY8tNEdTofDuoyQ4oSjETiE-IYZG-wAS9ExX4UNr_3jtpcLiKwZSdFZcbB-Z01Prkk6t2CJ3rkmEcOjCM7E14QXhde2Ga9BT-GL4cYBBW4Ee_FhXeOIyHV_NGu40Rus5oxK3ekiCtBk253O2AtlpH1ll8DoxnZtkgAyjq2VLER4CMp5yhxNcfuu8neKFfmBp7621sekp3uteEXng.YLCpzWnJRVE_rYmhDYnqCWqb_Ar-d9i-TKmyZlNfQ_c&amp;dib_tag=se&amp;keywords=xt%2Bpower%2Bconnectors&amp;qid=1761947287&amp;sprefix=xt%2Bpower%2Bconn%2Caps%2C124&amp;sr=8-5&amp;th=1</t>
  </si>
  <si>
    <t>xt60 Power Connector.png</t>
  </si>
  <si>
    <t>JST PH Kit</t>
  </si>
  <si>
    <t>We need JST connectors for connecting sensors to electrical hardware</t>
  </si>
  <si>
    <t>https://www.amazon.com/Taiss-Connector-Housing-Connectors-F-066-580PCS/dp/B0BHT1FQGY?crid=2H0U3QKMUCZG2&amp;dib=eyJ2IjoiMSJ9.VHOOS5WzNc_wO_nPTHAYnyLn0MS6G-tZWbt88Lb5TS8iGFYRPsWLRz51HH2yeSB8WeUuDpDnuguyzKQszw81watuPD4dke4lYM557367fZhG1OwsE3v_Z9mzZijYbX_AMXklqSZbuABOmHUqF3uBmsEjDINgoJrZXzxAXdw3SnMmKyrAxFlq8wio6OmBez0oNymYAvbM0GAm1SGf1423RW80ISwtHXjoKmpzn1OzJZ-73ATA1GvBHvsutwpr2m1JrGYYPzkTn_GkMeyxZXNv6i_9xu_-Zu2Z34_gkbz7P-c.NUridlgTcDM3G9-8D2G_lgXcABCGO0qDKQEbLvfP1UE&amp;dib_tag=se&amp;keywords=jst%2Bconnector&amp;qid=1761947342&amp;sprefix=jst%2Bconn%2Caps%2C144&amp;sr=8-10&amp;th=1</t>
  </si>
  <si>
    <t>JST PH Kit.png</t>
  </si>
  <si>
    <t>PCBs</t>
  </si>
  <si>
    <t>JLCPCB</t>
  </si>
  <si>
    <t>We need PCBs throughout the year</t>
  </si>
  <si>
    <t>jlcpcb.com</t>
  </si>
  <si>
    <t>PCBs.png</t>
  </si>
  <si>
    <t>xt90 Power Connectors</t>
  </si>
  <si>
    <t>https://www.amazon.com/AFDHGS-Connector-Solder-Point-Cover/dp/B0D8756R7L?s=toys-and-games&amp;sp_csd=d2lkZ2V0TmFtZT1zcF9hdGY&amp;psc=1</t>
  </si>
  <si>
    <t>xt90 Power Connectors.png</t>
  </si>
  <si>
    <t>MR30</t>
  </si>
  <si>
    <t>https://www.amazon.com/Amass-Female-Connector-Multicopter-Airplane/dp/B0747MW9RX</t>
  </si>
  <si>
    <t>MR30.png</t>
  </si>
  <si>
    <t>SOLDER</t>
  </si>
  <si>
    <t>We need solder to provide electrical connection between components.</t>
  </si>
  <si>
    <t>https://www.amazon.com/Solder-Rosin-Electrical-Soldering-1-0mm/dp/B08CNC29QD</t>
  </si>
  <si>
    <t>SOLDER.png</t>
  </si>
  <si>
    <t>JST XH Kit</t>
  </si>
  <si>
    <t>https://www.amazon.com/Kidisoii-Connector-Premium-Pre-Crimped-XH-MF-Kit/dp/B0CKZD8KJR/ref=sr_1_6?crid=238TQMWP4ZLQJ&amp;dib=eyJ2IjoiMSJ9.PZxAWIJ4RaQWYQu380xy5IQIwiC_SDK_trNnUz5WgXopsyBv7KphBYSZwkK0lG0Q_950fSa_-bXCXonoE8zlOacoffkU4wTnIWEVo-OX5B3YXGnvD4c5Rs3LzYMQUyp5lxrAIgCC2Yd5kSlinQJfj6z8qQ5-9zvZ2dV_TFx3R8ZufwU70wZ1dCmQznW-VEN-px54fq5lR84b35QR7_BC2FJP-J4bj8E4C8AzphHq_TY.hf1T8z_y3Hf6lB31vrddKZKSzuECLMl5sYPHSEwdg2E&amp;dib_tag=se&amp;keywords=jst%2Bxh%2Bmale%2Bfemale%2Bconnector%2Bkit&amp;qid=1762359276&amp;sprefix=jst%2Bxh%2Bmale%2Bfemale%2Bconnector%2Bkit%2Caps%2C97&amp;sr=8-6&amp;th=1</t>
  </si>
  <si>
    <t>JST XH Kit.png</t>
  </si>
  <si>
    <t>JST SM Kit</t>
  </si>
  <si>
    <t>https://www.amazon.com/Glarks-Perfectly-Compatible-Connector-Assortment/dp/B07CTKD7P4/ref=sr_1_3?crid=2B9W6QC6YGIOR&amp;dib=eyJ2IjoiMSJ9.9Tr-VL_JsKVV0UzHK5Ts4HOhTlSW3dlKTJNqlLmNtoYNIXNSDgkzRtSS2rL5FI3bCX6tGIC2l41NJGIcBW7uLfv11GMpMLnZnis3cNPU_-u9hcIdHoglShLRWK7fSQJernayM91fpqKMrY2vU8_hLzpNmxbFRgfSHaw04gKCnDUFmeNVugFXuVdGRErgv-sQbqrHBYtqscUNwoQPGSIrAqXmx13owNnMr8c0sAk2puA.GhRIrik3zp0OUyQVyWO0iWnJeJdp_o7nf25nymKa8Zo&amp;dib_tag=se&amp;keywords=jst+male+female+connector+kit&amp;qid=1762359452&amp;sprefix=jst+male+female+%2Caps%2C104&amp;sr=8-3</t>
  </si>
  <si>
    <t>JST SM Kit.png</t>
  </si>
  <si>
    <t>Solder Pen</t>
  </si>
  <si>
    <t>We need flux for soldering</t>
  </si>
  <si>
    <t>https://www.amazon.com/gp/aw/d/B07B53LNGX/?_encoding=UTF8&amp;pd_rd_plhdr=t&amp;aaxitk=091b2da687e8b5313966ff9e19230389&amp;hsa_cr_id=7422912750601&amp;qid=1762360135&amp;sr=1-2-9e67e56a-6f64-441f-a281-df67fc737124&amp;ref_=sbx_s_sparkle_sbtcd_asin_1_title&amp;pd_rd_w=eKuVf&amp;content-id=amzn1.sym.9f2b2b9e-47e9-4764-a4dc-2be2f6fca36d%253Aamzn1.sym.9f2b2b9e-47e9-4764-a4dc-2be2f6fca36d&amp;pf_rd_p=9f2b2b9e-47e9-4764-a4dc-2be2f6fca36d&amp;pf_rd_r=0R1D2R1TDJM5ABB06VXX&amp;pd_rd_wg=DhXqp&amp;pd_rd_r=7b5ffcf1-be54-44ec-97c5-79a4a1405eeb</t>
  </si>
  <si>
    <t>Solder Pen.png</t>
  </si>
  <si>
    <t xml:space="preserve">M4 Standoffs </t>
  </si>
  <si>
    <t xml:space="preserve">Standoffs allow us to space PCBs and mechanical components safely </t>
  </si>
  <si>
    <t>https://www.amazon.com/Standoff-Motherboard-Hexagon-Spacer-Assortment/dp/B0B2MPJB9S</t>
  </si>
  <si>
    <t>M4 Standoffs.png</t>
  </si>
  <si>
    <t xml:space="preserve">M3 Standoffs </t>
  </si>
  <si>
    <t>https://www.amazon.com/Black-Nylon-Standoff-Spacers-Screws/dp/B0F297R23T?s=industrial</t>
  </si>
  <si>
    <t>M3 Standoffs.png</t>
  </si>
  <si>
    <t>M2.5 screws</t>
  </si>
  <si>
    <t>M2.5 Screws are useful for mounting sensors and rasberry pis</t>
  </si>
  <si>
    <t>https://www.amazon.com/MCMASKE-Metric-Phillips-Screws-Assortment/dp/B0BL3RW7PJ?s=industrial</t>
  </si>
  <si>
    <t>M2.5 screws.png</t>
  </si>
  <si>
    <t xml:space="preserve">PETG filament - White </t>
  </si>
  <si>
    <t>MatterHackers</t>
  </si>
  <si>
    <t>Filament allows us to create custom 3D print components in-house</t>
  </si>
  <si>
    <t>https://www.matterhackers.com/store/l/petg-white-high-strength-filament-1.75mm/sk/M1VF5877</t>
  </si>
  <si>
    <t>PETG filament - White.png</t>
  </si>
  <si>
    <t xml:space="preserve">PETG filament - Blue </t>
  </si>
  <si>
    <t>https://www.matterhackers.com/store/l/blue-mh-build-series-petg-filament-175mm-1kg/sk/M-S9R-X9GU</t>
  </si>
  <si>
    <t>PETG filament - Blue.png</t>
  </si>
  <si>
    <t>PLA filament - White</t>
  </si>
  <si>
    <t>https://www.matterhackers.com/store/l/175mm-pla-filament-white-1-kg/sk/MEEDKTKU</t>
  </si>
  <si>
    <t>https://gtvault.sharepoint.com/:i:/s/MarineRoboticsGroup/EV3oD4ParU1EiJt1J5nARKgBDXRjNy7bt4FFbis9RglEFg?e=we47Rv</t>
  </si>
  <si>
    <t>PLA filament - Blue</t>
  </si>
  <si>
    <t>https://www.matterhackers.com/store/l/175mm-pla-filament-blue-1-kg/sk/M-MQF-QZ5S</t>
  </si>
  <si>
    <t>PLA filament - Blue.png</t>
  </si>
  <si>
    <t>M2, M3, M4, M5 Screws</t>
  </si>
  <si>
    <t xml:space="preserve">Screws are needed for mounting and connecting mechanical components </t>
  </si>
  <si>
    <t>https://www.amazon.com/DIVANC-Assortment-2000PCS-Machine-Stainless/dp/B0F4PK54PY?sp_csd=d2lkZ2V0TmFtZT1zcF9hdGY</t>
  </si>
  <si>
    <t>M2, M3, M4, M5 Screws.png</t>
  </si>
  <si>
    <t>Posters and Paper Media</t>
  </si>
  <si>
    <t>VistaPrint</t>
  </si>
  <si>
    <t>Posters are good for increasing public presence on campus and at competition.</t>
  </si>
  <si>
    <t>https://www.vistaprint.com/signs-posters/vinyl-banners</t>
  </si>
  <si>
    <t>Posters and Paper Media.png</t>
  </si>
  <si>
    <t>Stickers</t>
  </si>
  <si>
    <t xml:space="preserve">These are good media for handing out to prospective members, other competition teams, and members. </t>
  </si>
  <si>
    <t>https://www.vistaprint.com/labels-stickers/custom-stickers/single-stickers</t>
  </si>
  <si>
    <t>Stickers.png</t>
  </si>
  <si>
    <t>XT60PW</t>
  </si>
  <si>
    <t>amazon</t>
  </si>
  <si>
    <t>Board mount XT60</t>
  </si>
  <si>
    <t>https://www.amazon.com/XT60PW-Female-Connector-Adapter-Battery/dp/B07VRLQ2C5?crid=2P5TPOHC6TILQ&amp;dib=eyJ2IjoiMSJ9.SUL80rmVSbwUU0GjVnFfqLQPf944UZeuaDAKBZdsPWtfm_u_MjbTboEDBT3y7YZt5WUm4OgllS2Gi3ZJmpq7uvq7-rDnGFMABVZ-p0fCgKDBBqpX0rsiEPI5t20nyHbTxthS1ipFNR5A-K5l3GA7kKca0omtKaZCnI6RaCV9X--X7yKcZJtYiKLuGvJtp74AGcidHRRhdZmg6QGhkuLuz8jlI-bHnzJk8Mnmn3TWxX6iZKeQSiSIWc2rGVzxp60iszeh-d8wMAGptbpLT30u5zanPtlNuWgeDuc_y43jgbo.gneig4jclFi8nP6LOZ3U0D25QLsI-1q2AUu1daWpgDQ&amp;dib_tag=se&amp;keywords=xt60+pw+m&amp;qid=1756319127&amp;sprefix=xt60+pw+m%2Caps%2C98&amp;sr=8-2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</si>
  <si>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XT60PW%2Epng&amp;parent=%2Fsites%2FMarineRoboticsGroup%2FShared%20Documents%2FOPS%2D1%20Operations%2FFall%202025%20Finances%2FFall%202025%20Bill%20Proof%2FMarine%20Robotics%20Group%20FY27%20Budget</t>
  </si>
  <si>
    <t>XT30PW</t>
  </si>
  <si>
    <t>Board mount XT30</t>
  </si>
  <si>
    <t>https://www.amazon.com/dp/B0DZ266X7P/ref=sspa_dk_detail_0?psc=1&amp;pd_rd_i=B0DZ266X7P&amp;pd_rd_w=azfNj&amp;content-id=amzn1.sym.7446a9d1-25fe-4460-b135-a60336bad2c9&amp;pf_rd_p=7446a9d1-25fe-4460-b135-a60336bad2c9&amp;pf_rd_r=B2HT7DA8D5YMPY86MMT4&amp;pd_rd_wg=p4pNd&amp;pd_rd_r=78d12a18-10a9-4c51-b028-566291847bf7&amp;sp_csd=d2lkZ2V0TmFtZT1zcF9kZXRhaWw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</si>
  <si>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XT30PW%2Epng&amp;parent=%2Fsites%2FMarineRoboticsGroup%2FShared%20Documents%2FOPS%2D1%20Operations%2FFall%202025%20Finances%2FFall%202025%20Bill%20Proof%2FMarine%20Robotics%20Group%20FY27%20Budget</t>
  </si>
  <si>
    <t>Rapsberry Pi 4</t>
  </si>
  <si>
    <t>Raspberry Pi for new member training</t>
  </si>
  <si>
    <t>https://www.amazon.com/Raspberry-Model-2019-Quad-Bluetooth/dp/B07TC2BK1X?crid=29EX922BGYDYI&amp;dib=eyJ2IjoiMSJ9.HavuMzOx0pibLLpdWCmY09lLx1FUneD-7RHwdKXJCF5q3uo0ch21CiFIAoCU2IxrgQ8jX1MvqTXKadpBUHDyqdB5aB-LAwzn6S7dbVxe4Z71NNf3Ucvl05bQxti5I8Io4q5b6t4-tJ3tx0tHg_EscCnk__t0g0yOPO3AGjOdCvOBy99qKWJPrmRMv3rAfjCVwVipCp_kOj7q6-o8T53BS0ys2SoorXGOBpZoitkry-A.WQlTK-DSR80jCebFHKsZXheFkPEti5GkeRPqlRmwUg8&amp;dib_tag=se&amp;keywords=pi%2B4&amp;qid=1756321593&amp;sprefix=pi%2B4%2Caps%2C114&amp;sr=8-1&amp;th=1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</si>
  <si>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Rapsberry%5FPi%5F4%2Epng&amp;parent=%2Fsites%2FMarineRoboticsGroup%2FShared%20Documents%2FOPS%2D1%20Operations%2FFall%202025%20Finances%2FFall%202025%20Bill%20Proof%2FMarine%20Robotics%20Group%20FY27%20Budget</t>
  </si>
  <si>
    <t>Voltage Regulator</t>
  </si>
  <si>
    <t>pololu</t>
  </si>
  <si>
    <t>Voltage regulator for new member training</t>
  </si>
  <si>
    <t>https://www.pololu.com/product/4082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</si>
  <si>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</t>
  </si>
  <si>
    <t>IMU</t>
  </si>
  <si>
    <t>mouser</t>
  </si>
  <si>
    <t>Accelerometer for new member training</t>
  </si>
  <si>
    <t>https://www.mouser.com/ProductDetail/Adafruit/4554?qs=DPoM0jnrROVsh%2FR5VsCmTg%3D%3D</t>
  </si>
  <si>
    <t>GPS</t>
  </si>
  <si>
    <t>GPS for new member training</t>
  </si>
  <si>
    <t>https://www.amazon.com/Microcontroller-Compatible-Sensitivity-Navigation-Positioning/dp/B0CWL6QZN8?th=1</t>
  </si>
  <si>
    <t>Camera</t>
  </si>
  <si>
    <t>Camera for new member training</t>
  </si>
  <si>
    <t>https://www.amazon.com/Argzm-Notebook-1280x720p-Resolution-Streaming/dp/B0DKJ1W3VG?crid=1STYFBOC17KOH&amp;dib=eyJ2IjoiMSJ9.GbszRIWH8Tr0LB48qlQhzhYoZI_s-Zzd47dyXO-sY3sJQbqPeAlHZIAvcfgvPe0KY0Tp73i_AqjqAKzePXcgkGVMMcIKwPeX72NOwVPye56luXfgpES8UJxwldfhBuI5QLJbBV8HYPG8xCOLfJG2a7Ck8-8ZfTU01vp-zO_cyF_CYgNnLBFq2r37uhmiXPlbIVi3rPJXP8-ZY3t-FMADudxAN6Es0d_0l_FL9NZ-a3nsURLgA2cLtEquNiHGXP6YJV8wKucjiDAxAfB7hGI0x4aO797uAJSyOuDpKOXWysE_itoJmcO4RxlPryZEudJWPsnb8PkaBeX3a2ttEChB5c4NJm2x3wc_FcNoE1iNJoc.p6bh4nipJ0S-GnD1O-Atd93kvAyZ1PD_vfAVJNy7mXE&amp;dib_tag=se&amp;keywords=USB+Camera+Module+OV9726&amp;qid=1734376226&amp;s=electronics&amp;sprefix=usb+camera+module+ov9726+%2Celectronics%2C80&amp;sr=1-7</t>
  </si>
  <si>
    <t>LIDAR</t>
  </si>
  <si>
    <t>LIDAR for new member training</t>
  </si>
  <si>
    <t>https://www.amazon.com/WayPonDEV-RPLIDAR-C1-Avoidance-Navigation/dp/B0CMTXV5RC?crid=3QALGJ7HYTRV0&amp;dib=eyJ2IjoiMSJ9.OwQ79Rp173M0tkZRP3OIqwi3_GCeM-vu2zOCRsVg9e3bpAyH-rvEK75Q2sSZ4paGt2cLE0WO8QqPGNH85vorkS_VywiaAk5h3-eGb71WsxPw_h4r8QqRW9VFw8BriY7CVHyPDs1muzoFNDfGMmIwfomyI7VtC1-1WBJWPR6JhcXkE4LYgJbIXbm1ZobYnf2R8OImb0yFz1sp1CIqOZYoDPzF4aQzRLUBaZ08m_AHtUo.sTbQSbmfiHDhbFEdGBXJLpLuv4oS2D99yRkl9tCyzXY&amp;dib_tag=se&amp;keywords=slamtec+lidar+c1&amp;qid=1738007442&amp;s=electronics&amp;sprefix=slamtec+lidar+c1%2Celectronics%2C82&amp;sr=1-3</t>
  </si>
  <si>
    <t>Small Battery</t>
  </si>
  <si>
    <t>Battery for new member training vehicle</t>
  </si>
  <si>
    <t>https://www.amazon.com/1800mAh-M4-FPV250-Shredder-Nighthawk-Airplane/dp/B013I9SAHO?s=toys-and-games</t>
  </si>
  <si>
    <t>Toggle Switch</t>
  </si>
  <si>
    <t>Switch for new member training vehicle</t>
  </si>
  <si>
    <t>https://www.amazon.com/MTS-101-Position-Miniature-Toggle-Switch/dp/B0799LBFNY/?th=1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</si>
  <si>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Toggle%5FSwitch%2Epng&amp;parent=%2Fsites%2FMarineRoboticsGroup%2FShared%20Documents%2FOPS%2D1%20Operations%2FFall%202025%20Finances%2FFall%202025%20Bill%20Proof%2FMarine%20Robotics%20Group%20FY27%20Budget</t>
  </si>
  <si>
    <t>Antenna</t>
  </si>
  <si>
    <t>Antenna for new member training vehicle</t>
  </si>
  <si>
    <t>https://www.amazon.com/Antenna-Pigtail-Wireless-Routers-Repeater/dp/B07R21LN5P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</si>
  <si>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Antenna%2Epng&amp;parent=%2Fsites%2FMarineRoboticsGroup%2FShared%20Documents%2FOPS%2D1%20Operations%2FFall%202025%20Finances%2FFall%202025%20Bill%20Proof%2FMarine%20Robotics%20Group%20FY27%20Budget</t>
  </si>
  <si>
    <t>USB Antenna adapter</t>
  </si>
  <si>
    <t>USB antenna for training vehicle</t>
  </si>
  <si>
    <t>https://www.amazon.com/EDUP-ac600Mbps-Wireless-External-10-6-10-13/dp/B01CCMUN8C?th=1</t>
  </si>
  <si>
    <t>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USB%5FAntenna%5Fadapter%2Epng&amp;parent=%2Fsites%2FMarineRoboticsGroup%2FShared%20Documents%2FOPS%2D1%20Operations%2FFall%202025%20Finances%2FFall%202025%20Bill%20Proof%2FMarine%20Robotics%20Group%20FY27%20Budget</t>
  </si>
  <si>
    <t>M3 x 15mm nylon hex standoffs</t>
  </si>
  <si>
    <t>Hex standoffs for training vehicle</t>
  </si>
  <si>
    <t>https://www.amazon.com/Hxchen-Plastic-Hexagon-Standoff-Pillars/dp/B083GLPTRK/</t>
  </si>
  <si>
    <t>M3 x 6mm nylon screws</t>
  </si>
  <si>
    <t>Nylon screw for training vehicle</t>
  </si>
  <si>
    <t>https://www.amazon.com/100PCS-Round-Machine-Fastener-Phillips/dp/B0D5HYKZYN/</t>
  </si>
  <si>
    <t>Micro SD Card 256GB</t>
  </si>
  <si>
    <t>SD card for training vehicle</t>
  </si>
  <si>
    <t>https://www.amazon.com/Amazon-Basics-microSDXC-Memory-Adapter/dp/B08TJZDJ4D/ref=sr_1_6?dib=eyJ2IjoiMSJ9.0xCMAlELkYzvhxN9CQLj65pQc7Ld-VZgB-_Tw83oI9f-xexdSPEJG51P9IesPzsWJ3mxuHEtdZsrnFdWuWCPf6BW_a2Cv5ahFWSJ4Tmd8T3vig0e4rIRNagnHQaS2dOnnhKWXTm_hxHNTQInW1ZXYvbPVyzbeo6B7gCahr_X4mH-AQhNtNO3gArfg95b5HGQ7ROBtY1mTWet6OBw5u9zBDyzKjXH8AVJc5o8nTahNyk.virBL9U5WK_ZTfwP7dnHudqcR52yI5eGGrwU7FV1KkU&amp;dib_tag=se&amp;keywords=256gb%2Bmicro%2Bsd%2Bcard&amp;qid=1758147036&amp;sr=8-6&amp;th=1</t>
  </si>
  <si>
    <t>STATUS KEY</t>
  </si>
  <si>
    <t>ITEM KEY</t>
  </si>
  <si>
    <t>A01 - Food and Drinks</t>
  </si>
  <si>
    <t>A02 - Food-related items</t>
  </si>
  <si>
    <t>A03 - On-Campus Venue</t>
  </si>
  <si>
    <t>purchased - SOFO</t>
  </si>
  <si>
    <t>A04 - Off-Campus Venue</t>
  </si>
  <si>
    <t>purchased - cash</t>
  </si>
  <si>
    <t>A05 - Decorations</t>
  </si>
  <si>
    <t>purchased - awaiting reimbursement</t>
  </si>
  <si>
    <t>A06 - Social Media Advertisements</t>
  </si>
  <si>
    <t>arrived</t>
  </si>
  <si>
    <t>A07 - Event Publicity</t>
  </si>
  <si>
    <t>pending purchase</t>
  </si>
  <si>
    <t>A08 - Event Vendors &amp; Service Providers</t>
  </si>
  <si>
    <t>review requested</t>
  </si>
  <si>
    <t>B01 - Performance-Related Garments</t>
  </si>
  <si>
    <t>B02 - RSO Publicity Items</t>
  </si>
  <si>
    <t>B04 - Personal Protective Equipment (PPE)</t>
  </si>
  <si>
    <t>B05 - Software</t>
  </si>
  <si>
    <t>B07 - Printing Costs</t>
  </si>
  <si>
    <t>B08 - Storage Lockers/Units</t>
  </si>
  <si>
    <t>B09 - Vehicle Storage</t>
  </si>
  <si>
    <t>B10 - Maintenance Vendors &amp; Service Providers</t>
  </si>
  <si>
    <t>C02 - Vehicle Travel</t>
  </si>
  <si>
    <t>C04 - Competition Registration</t>
  </si>
  <si>
    <t>C05 - League Membership/Dues</t>
  </si>
  <si>
    <t>C06 - Hosting Competitions</t>
  </si>
  <si>
    <t>C07 - External Practices</t>
  </si>
  <si>
    <t>C08 - Coaching Stipends</t>
  </si>
  <si>
    <t>ID</t>
  </si>
  <si>
    <t>Date</t>
  </si>
  <si>
    <t>Name</t>
  </si>
  <si>
    <t>Account</t>
  </si>
  <si>
    <t>Category</t>
  </si>
  <si>
    <t>Type</t>
  </si>
  <si>
    <t>Amount</t>
  </si>
  <si>
    <t>Link to Details</t>
  </si>
  <si>
    <t>Ryan Otsuka</t>
  </si>
  <si>
    <t>Rollover Dues</t>
  </si>
  <si>
    <t>Revenue - Dues</t>
  </si>
  <si>
    <t>Revenue</t>
  </si>
  <si>
    <t>Sean Fish</t>
  </si>
  <si>
    <t>Fall 2025 Dues</t>
  </si>
  <si>
    <t>FY26 Dues Tracking.xlsx</t>
  </si>
  <si>
    <t>Thomas Devlin</t>
  </si>
  <si>
    <t>Urgent Stinger Components</t>
  </si>
  <si>
    <t>Spending - Personal</t>
  </si>
  <si>
    <t>Spending</t>
  </si>
  <si>
    <t>2025-09-15_sfish7</t>
  </si>
  <si>
    <t>Role</t>
  </si>
  <si>
    <t>Balance</t>
  </si>
  <si>
    <t>Account Open</t>
  </si>
  <si>
    <t>Account Close</t>
  </si>
  <si>
    <t>Custodial</t>
  </si>
  <si>
    <t>SOFO Account</t>
  </si>
  <si>
    <t>Foundation</t>
  </si>
  <si>
    <t>Erin Beazley</t>
  </si>
  <si>
    <t>President</t>
  </si>
  <si>
    <t>In order to be reimbursed:</t>
  </si>
  <si>
    <t>Will McConnell</t>
  </si>
  <si>
    <t>Operations Chair</t>
  </si>
  <si>
    <t>You must be an authorized spender.</t>
  </si>
  <si>
    <t>Alexander Dumas</t>
  </si>
  <si>
    <t>Treasurer</t>
  </si>
  <si>
    <t>You must track spending on this sheet.</t>
  </si>
  <si>
    <t>Carson Ray</t>
  </si>
  <si>
    <t>Microtransat Lead</t>
  </si>
  <si>
    <t>You must not exceed your team's allocation of liquid funds.</t>
  </si>
  <si>
    <t>John Beeson</t>
  </si>
  <si>
    <t>RoboSub Lead</t>
  </si>
  <si>
    <t>Nicholas Lai</t>
  </si>
  <si>
    <t>RobotX Co-lead</t>
  </si>
  <si>
    <t>Aaron Wu</t>
  </si>
  <si>
    <t>Mentor</t>
  </si>
  <si>
    <t>Outgoing 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</si>
</sst>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"/>
    <numFmt numFmtId="165" formatCode="&quot;$&quot;#,##0.0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/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3" fillId="4" borderId="0" xfId="1" applyFill="1"/>
    <xf numFmtId="0" fontId="3" fillId="0" borderId="0" xfId="1"/>
    <xf numFmtId="165" fontId="0" fillId="2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0" fontId="8" fillId="0" borderId="0" xfId="0" applyFont="1"/>
    <xf numFmtId="0" fontId="0" fillId="6" borderId="0" xfId="0" applyFill="1"/>
    <xf numFmtId="165" fontId="0" fillId="6" borderId="0" xfId="0" applyNumberFormat="1" applyFill="1"/>
    <xf numFmtId="0" fontId="3" fillId="6" borderId="0" xfId="1" applyFill="1"/>
    <xf numFmtId="0" fontId="1" fillId="4" borderId="0" xfId="0" applyFont="1" applyFill="1"/>
    <xf numFmtId="16" fontId="0" fillId="0" borderId="0" xfId="0" applyNumberFormat="1"/>
    <xf numFmtId="165" fontId="1" fillId="0" borderId="0" xfId="0" applyNumberFormat="1" applyFont="1" applyAlignment="1">
      <alignment wrapText="1"/>
    </xf>
    <xf numFmtId="0" fontId="3" fillId="7" borderId="0" xfId="1" applyFill="1"/>
    <xf numFmtId="0" fontId="1" fillId="8" borderId="0" xfId="0" applyFont="1" applyFill="1"/>
    <xf numFmtId="0" fontId="3" fillId="0" borderId="0" xfId="1" applyAlignment="1">
      <alignment wrapText="1"/>
    </xf>
    <xf numFmtId="0" fontId="0" fillId="0" borderId="0" xfId="0" applyAlignment="1">
      <alignment vertical="center"/>
    </xf>
    <xf numFmtId="0" fontId="0" fillId="0" borderId="2" xfId="0" applyBorder="1"/>
    <xf numFmtId="0" fontId="3" fillId="6" borderId="0" xfId="0" applyFont="1" applyFill="1"/>
    <xf numFmtId="0" fontId="0" fillId="2" borderId="3" xfId="0" applyFill="1" applyBorder="1"/>
    <xf numFmtId="0" fontId="0" fillId="2" borderId="0" xfId="0" applyFill="1" applyAlignment="1">
      <alignment wrapText="1"/>
    </xf>
    <xf numFmtId="0" fontId="3" fillId="2" borderId="0" xfId="1" applyFill="1"/>
    <xf numFmtId="0" fontId="9" fillId="2" borderId="0" xfId="0" applyFont="1" applyFill="1"/>
    <xf numFmtId="165" fontId="1" fillId="4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165" fontId="4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3" fillId="2" borderId="0" xfId="1" applyFill="1" applyAlignment="1">
      <alignment horizontal="center"/>
    </xf>
    <xf numFmtId="0" fontId="0" fillId="0" borderId="4" xfId="0" applyBorder="1"/>
    <xf numFmtId="0" fontId="11" fillId="0" borderId="0" xfId="0" applyFont="1"/>
    <xf numFmtId="165" fontId="6" fillId="2" borderId="0" xfId="0" applyNumberFormat="1" applyFont="1" applyFill="1"/>
  </cellXfs>
  <cellStyles count="2">
    <cellStyle name="Hyperlink" xfId="1" xr:uid="{00000000-0005-0000-0000-000001000000}"/>
    <cellStyle name="Normal" xfId="0" builtinId="0"/>
  </cellStyles>
  <dxfs count="70"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ont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ill>
        <patternFill>
          <bgColor theme="3" tint="0.89996032593768116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llsT" displayName="BillsT" ref="A1:P508" totalsRowShown="0" headerRowDxfId="47">
  <autoFilter ref="A1:P508" xr:uid="{00000000-0009-0000-0100-000001000000}"/>
  <tableColumns count="16">
    <tableColumn id="1" xr3:uid="{00000000-0010-0000-0000-000001000000}" name="Bill Item ID" dataDxfId="46">
      <calculatedColumnFormula>IF(BillsT[[#This Row],[Item Name]]="","",
-6 + COUNTIF(INDEX(BillsT[Item Name],1):BillsT[[#This Row],[Item Name]],"&lt;&gt;") - 1)</calculatedColumnFormula>
    </tableColumn>
    <tableColumn id="2" xr3:uid="{00000000-0010-0000-0000-000002000000}" name="Bill No."/>
    <tableColumn id="3" xr3:uid="{00000000-0010-0000-0000-000003000000}" name="Bill Title"/>
    <tableColumn id="4" xr3:uid="{00000000-0010-0000-0000-000004000000}" name="Item Name"/>
    <tableColumn id="5" xr3:uid="{00000000-0010-0000-0000-000005000000}" name="Status"/>
    <tableColumn id="6" xr3:uid="{00000000-0010-0000-0000-000006000000}" name="Budget Section"/>
    <tableColumn id="7" xr3:uid="{00000000-0010-0000-0000-000007000000}" name="Vendor"/>
    <tableColumn id="8" xr3:uid="{00000000-0010-0000-0000-000008000000}" name="Description"/>
    <tableColumn id="9" xr3:uid="{00000000-0010-0000-0000-000009000000}" name="Quantity"/>
    <tableColumn id="10" xr3:uid="{00000000-0010-0000-0000-00000A000000}" name="Cost" dataDxfId="45"/>
    <tableColumn id="11" xr3:uid="{00000000-0010-0000-0000-00000B000000}" name="Total Cost" dataDxfId="44">
      <calculatedColumnFormula>J2*I2</calculatedColumnFormula>
    </tableColumn>
    <tableColumn id="12" xr3:uid="{00000000-0010-0000-0000-00000C000000}" name="Link" dataCellStyle="Hyperlink"/>
    <tableColumn id="13" xr3:uid="{00000000-0010-0000-0000-00000D000000}" name="File URL" dataCellStyle="Hyperlink"/>
    <tableColumn id="14" xr3:uid="{00000000-0010-0000-0000-00000E000000}" name="Person Requesting"/>
    <tableColumn id="15" xr3:uid="{00000000-0010-0000-0000-00000F000000}" name="Remaining Allocation" dataDxfId="43">
      <calculatedColumnFormula>IF(BillsT[[#This Row],[Bill Item ID]]="","",(BillsT[[#This Row],[Total Cost]] - SUMIFS(OrderT[Total Cost], OrderT[Bill Item ID], BillsT[[#This Row],[Bill Item ID]])))</calculatedColumnFormula>
    </tableColumn>
    <tableColumn id="16" xr3:uid="{00000000-0010-0000-0000-000010000000}" name="Column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T" displayName="OrderT" ref="A2:R305" totalsRowCount="1" headerRowDxfId="36" totalsRowDxfId="35">
  <autoFilter ref="A2:R304" xr:uid="{00000000-0009-0000-0100-000002000000}"/>
  <tableColumns count="18">
    <tableColumn id="1" xr3:uid="{00000000-0010-0000-0100-000001000000}" name="Order ID (YYMMDD_vendor_gburdell3)" totalsRowDxfId="34"/>
    <tableColumn id="2" xr3:uid="{00000000-0010-0000-0100-000002000000}" name="Bill Item ID" totalsRowDxfId="33"/>
    <tableColumn id="3" xr3:uid="{00000000-0010-0000-0100-000003000000}" name="Bill No." dataDxfId="31" totalsRowDxfId="32">
      <calculatedColumnFormula>_xlfn.XLOOKUP(OrderT[[#This Row],[Bill Item ID]], BillsT[Bill Item ID], BillsT[Bill No.], "")</calculatedColumnFormula>
    </tableColumn>
    <tableColumn id="5" xr3:uid="{00000000-0010-0000-0100-000005000000}" name="Item Name" dataDxfId="29" totalsRowDxfId="30">
      <calculatedColumnFormula>_xlfn.XLOOKUP(OrderT[[#This Row],[Bill Item ID]], BillsT[Bill Item ID], BillsT[Item Name], "")</calculatedColumnFormula>
    </tableColumn>
    <tableColumn id="14" xr3:uid="{00000000-0010-0000-0100-00000E000000}" name="Quantity" totalsRowDxfId="28"/>
    <tableColumn id="6" xr3:uid="{00000000-0010-0000-0100-000006000000}" name="Purchaser" totalsRowDxfId="27"/>
    <tableColumn id="19" xr3:uid="{00000000-0010-0000-0100-000013000000}" name="Allocation" dataDxfId="25" totalsRowDxfId="26"/>
    <tableColumn id="18" xr3:uid="{00000000-0010-0000-0100-000012000000}" name="Total Cost" totalsRowDxfId="24"/>
    <tableColumn id="20" xr3:uid="{00000000-0010-0000-0100-000014000000}" name="Cost Overrun" dataDxfId="22" totalsRowDxfId="23"/>
    <tableColumn id="7" xr3:uid="{00000000-0010-0000-0100-000007000000}" name="Purchasing Method" totalsRowDxfId="21"/>
    <tableColumn id="8" xr3:uid="{00000000-0010-0000-0100-000008000000}" name="Status" dataDxfId="19" totalsRowDxfId="20"/>
    <tableColumn id="9" xr3:uid="{00000000-0010-0000-0100-000009000000}" name="Budget Section" dataDxfId="17" totalsRowDxfId="18"/>
    <tableColumn id="10" xr3:uid="{00000000-0010-0000-0100-00000A000000}" name="Vendor" dataDxfId="15" totalsRowDxfId="16"/>
    <tableColumn id="11" xr3:uid="{00000000-0010-0000-0100-00000B000000}" name="Description" dataDxfId="13" totalsRowDxfId="14"/>
    <tableColumn id="12" xr3:uid="{00000000-0010-0000-0100-00000C000000}" name="Column2" dataDxfId="11" totalsRowDxfId="12"/>
    <tableColumn id="15" xr3:uid="{00000000-0010-0000-0100-00000F000000}" name="Link" dataDxfId="9" totalsRowDxfId="10" dataCellStyle="Hyperlink"/>
    <tableColumn id="16" xr3:uid="{00000000-0010-0000-0100-000010000000}" name="File URL" totalsRowDxfId="8" dataCellStyle="Hyperlink"/>
    <tableColumn id="17" xr3:uid="{00000000-0010-0000-0100-000011000000}" name="Person Requesting" totalsRowDxfId="7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kingTable" displayName="TrackingTable" ref="B1:I31" totalsRowShown="0">
  <autoFilter ref="B1:I31" xr:uid="{00000000-0009-0000-0100-000003000000}"/>
  <tableColumns count="8">
    <tableColumn id="1" xr3:uid="{00000000-0010-0000-0200-000001000000}" name="Date"/>
    <tableColumn id="2" xr3:uid="{00000000-0010-0000-0200-000002000000}" name="Name"/>
    <tableColumn id="3" xr3:uid="{00000000-0010-0000-0200-000003000000}" name="Account"/>
    <tableColumn id="4" xr3:uid="{00000000-0010-0000-0200-000004000000}" name="Description"/>
    <tableColumn id="5" xr3:uid="{00000000-0010-0000-0200-000005000000}" name="Category"/>
    <tableColumn id="8" xr3:uid="{00000000-0010-0000-0200-000008000000}" name="Type"/>
    <tableColumn id="6" xr3:uid="{00000000-0010-0000-0200-000006000000}" name="Amount"/>
    <tableColumn id="7" xr3:uid="{00000000-0010-0000-0200-000007000000}" name="Link to Detail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70DF04-A14E-4DEB-AEC0-9DE6222E49E6}" name="TestTable" displayName="TestTable" ref="A1:L2" insertRow="1" totalsRowShown="0">
  <autoFilter ref="A1:L2" xr:uid="{2170DF04-A14E-4DEB-AEC0-9DE6222E49E6}"/>
  <tableColumns count="12">
    <tableColumn id="1" xr3:uid="{771948F3-2E0D-49B9-8DBF-EDF41FC03D7F}" name="Bill Item ID"/>
    <tableColumn id="2" xr3:uid="{027DCEB9-068D-4523-BE1A-E42219555F3C}" name="Bill No."/>
    <tableColumn id="3" xr3:uid="{10E91F03-2F80-433C-805E-2B6808B4F3BC}" name="Bill Title"/>
    <tableColumn id="4" xr3:uid="{8863F807-E10A-4574-9402-3F435E81C634}" name="Item Name"/>
    <tableColumn id="8" xr3:uid="{260AFD2A-8A7D-4B33-8E23-F6A3154B5083}" name="Budget Section"/>
    <tableColumn id="9" xr3:uid="{7BB06477-5D88-4D27-8E28-7DA5D3A74674}" name="Vendor"/>
    <tableColumn id="10" xr3:uid="{4F961486-8C46-4108-AD0A-625320E1EEE6}" name="Description"/>
    <tableColumn id="6" xr3:uid="{D4EEEEFB-F509-48AC-8476-8E3A50CD1E3C}" name="Quantity"/>
    <tableColumn id="5" xr3:uid="{FE2F7FEA-2450-4D83-A9B2-1758EA274E89}" name="Cost"/>
    <tableColumn id="12" xr3:uid="{FFB780BC-E85B-4AD7-B5E0-1D2A239E13EF}" name="Total Cost"/>
    <tableColumn id="7" xr3:uid="{624F826F-6548-4ADD-9C7C-A6796C2C8DE9}" name="Link"/>
    <tableColumn id="11" xr3:uid="{EA36736F-CBD7-477F-B07C-1FB58CC8CEE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depot.com/p/Charlotte-Pipe-3-4-in-PVC-Schedule-40-90-S-x-S-Elbow-Fitting-PVC023000800HD/203812123" TargetMode="External"/><Relationship Id="rId13" Type="http://schemas.openxmlformats.org/officeDocument/2006/relationships/hyperlink" Target="https://www.amazon.com/XRDS-RF-2PCS-Female-Bulkhead-Connector/dp/B08J7XDWFL" TargetMode="External"/><Relationship Id="rId18" Type="http://schemas.openxmlformats.org/officeDocument/2006/relationships/hyperlink" Target="https://bluerobotics.com/store/boat/blueboat-accessories/blueboat-antenna-and-accessory-mast/" TargetMode="External"/><Relationship Id="rId3" Type="http://schemas.openxmlformats.org/officeDocument/2006/relationships/hyperlink" Target="https://www.amazon.com/dp/B0BR52TF9M?lv=shuf&amp;th=1&amp;social_share=cm_sw_r_cp_ud_dp_GDFZK1EQKKXW86AT9BEQ&amp;channelId=751&amp;plpRedirect=mhFallback" TargetMode="External"/><Relationship Id="rId21" Type="http://schemas.openxmlformats.org/officeDocument/2006/relationships/hyperlink" Target="https://www.amazon.com/Raspberry-Pi-Pico-Development-Integrated/dp/B0BDLHMQ9C/ref=sr_1_3?crid=1H99PE3XVELQM&amp;dib=eyJ2IjoiMSJ9.05cMFTHLT2becAUp6LXKOptgrrytrqAsQY_Ir4Lx4cb6rYUd1sOZ15f-ZKcNuCrZBcBxNxsTotZpu5ODmQSq49OKJZ2JA4BSm262NeFEwNxOZvMyFIEu4bPN4C4qR3frtIk_v8RSrNeQH9FMKnxHcVy24qvYSQYxysHdksNr5qWqfzOD9WIVDx3LdCAPmBPg3oairB56ndK25hg7PAvZfmx04QNihD6rQ8ApS9jcS7Zc_CxFuFsXI3D5fY8HNNq51d1aKme3dTuC2MS1reiZUfGCpe5rGnbJuEY6PQwVigM.DTYZIj6DV32sUA3mPvRM-ENuEG9md-lZD5RRRCG9P28&amp;dib_tag=se&amp;keywords=pi+pico+pack&amp;qid=1786032699&amp;s=electronics&amp;sprefix=pi+pico+pack%2Celectronics%2C221&amp;sr=1-3" TargetMode="External"/><Relationship Id="rId7" Type="http://schemas.openxmlformats.org/officeDocument/2006/relationships/hyperlink" Target="https://www.homedepot.com/p/Charlotte-Pipe-3-4-in-Schedule-40-S-x-S-x-S-Tee-PVC024000800HD/203812197" TargetMode="External"/><Relationship Id="rId12" Type="http://schemas.openxmlformats.org/officeDocument/2006/relationships/hyperlink" Target="https://www.walmart.com/ip/10-pack-Big-Joe-Swim-Pool-Noodle-Single-Unit-Pink-50-inches-long/7769521313" TargetMode="External"/><Relationship Id="rId17" Type="http://schemas.openxmlformats.org/officeDocument/2006/relationships/hyperlink" Target="https://www.amazon.com/Polypropylene-Ropes-Strength-Clothesrope-Activities/dp/B0FN32Q4QB/ref=sxin_18_pa_sp_search_thematic_sspa?content-id=amzn1.sym.8eb671a2-a903-4c3a-b962-ebb867a4f8f8%3Aamzn1.sym.8eb671a2-a903-4c3a-b962-ebb867a4f8f8&amp;crid=9LNTUSKWDL8R&amp;cv_ct_cx=twisted%2Bnylon%2Brope%2B1%2F4%2Bin&amp;keywords=twisted%2Bnylon%2Brope%2B1%2F4%2Bin&amp;pd_rd_i=B0BTS1N2G6&amp;pd_rd_r=a57fd4f4-c5f4-4ab2-83ec-5f94497eeb64&amp;pd_rd_w=mSxTf&amp;pd_rd_wg=9NChd&amp;pf_rd_p=8eb671a2-a903-4c3a-b962-ebb867a4f8f8&amp;pf_rd_r=6WJKGD96JKJ1E042H3ME&amp;qid=1785962932&amp;sbo=RZvfv%2F%2FHxDF%2BO5021pAnSA%3D%3D&amp;sprefix=twisted%2Bnylon%2Brope%2B1%2F4%2Bin%2Caps%2C191&amp;sr=1-1-6024b2a3-78e4-4fed-8fed-e1613be3bcce-spons&amp;aref=CiGaNFJvzd&amp;sp_csd=d2lkZ2V0TmFtZT1zcF9zZWFyY2hfdGhlbWF0aWM&amp;th=1" TargetMode="External"/><Relationship Id="rId2" Type="http://schemas.openxmlformats.org/officeDocument/2006/relationships/hyperlink" Target="https://www.amazon.com/dp/B01DC0IMRW?lv=shuf&amp;th=1&amp;social_share=cm_sw_r_cp_ud_dp_MNH40WZV2WTVTFC1F2EJ&amp;channelId=751&amp;plpRedirect=mhFallback" TargetMode="External"/><Relationship Id="rId16" Type="http://schemas.openxmlformats.org/officeDocument/2006/relationships/hyperlink" Target="https://www.amazon.com/EVTIME-Emergency-Traction-Mats-Portable-Sand-Used/dp/B08D88V17G/ref=sr_1_1_sspa?crid=DDB4U17NHXXD&amp;dib=eyJ2IjoiMSJ9.ZcuxtLHgHdHkAi6hl3Dkos084vbg53g0K4i72Y9OfU62_ouUKam2uyd4xBolVX22VSUHreKbdheW9aDbECPcpKefCqNAAGfRZRvtiG4rVzygf8MH9jUm01zf6uzpZNGbmCNjIwyNssP1vygnDrG1C8KB4Zz4MVnET2TMk-kOG9LOy8ezIDoIyCQ6Vf8j07k8zGEtm6J9BGtRWzspkqQhwiYoxZk3iSEATb6CW42Kjrc.BZdBcDLD5A-SYz_QnWyM_8Ukuy21MZrkQTXxNEdEX4I&amp;dib_tag=se&amp;keywords=traction+mats&amp;qid=1785964756&amp;sprefix=traction+mat%2Caps%2C238&amp;sr=8-1-spons&amp;sp_csd=d2lkZ2V0TmFtZT1zcF9hdGY&amp;psc=1" TargetMode="External"/><Relationship Id="rId20" Type="http://schemas.openxmlformats.org/officeDocument/2006/relationships/hyperlink" Target="https://www.amazon.com/Waterproof-Lonlonty-Shielded-Industrial-Connector/dp/B0FBFX1QJX/ref=sr_1_3?crid=1DRJYBXL4KE57&amp;dib=eyJ2IjoiMSJ9.0vN9B6xTFDxZQ1SO3ILA_mDKR2fKUqprlY2LTkEq5PPJqGl-fwwGwRSAC0chMq32mMTqEdWcYljqhsR_a0L-7hy3wefNZV-jaNreSm_7jZlirDZ--sF7Pi7_kpxzD41YdSFgJMwOcnZkqsjEoGHcqTh-ywPBJSmcrQosd_VP4Xg2fZmDGDeIJDH6OssEn8Jz94bCk0CjVIVZijN72WkjFOuqP-I9cVA1uBqZXDGNIjI.pCw2Va-Ji3-iVfzpF9zw4gxxdJwXVFNbiquaHtLcoF0&amp;dib_tag=se&amp;keywords=ethernet%2Bbulkhead&amp;qid=1785970660&amp;sprefix=ethernet%2Bbul%2Caps%2C772&amp;sr=8-3&amp;th=1" TargetMode="External"/><Relationship Id="rId1" Type="http://schemas.openxmlformats.org/officeDocument/2006/relationships/hyperlink" Target="https://www.amazon.com/dp/B09MKSVV5H?lv=shuf&amp;th=1&amp;_encoding=UTF8&amp;social_share=cm_sw_r_cp_ud_dp_29XRS19P2QCA9V7W8RP9&amp;channelId=751&amp;plpRedirect=mhFallback" TargetMode="External"/><Relationship Id="rId6" Type="http://schemas.openxmlformats.org/officeDocument/2006/relationships/hyperlink" Target="https://www.homedepot.com/p/Charlotte-Pipe-3-4-in-x-10-ft-PVC-Schedule-40-Pressure-Plain-End-Pipe-PVC-04007-0600/100348472" TargetMode="External"/><Relationship Id="rId11" Type="http://schemas.openxmlformats.org/officeDocument/2006/relationships/hyperlink" Target="https://www.homedepot.com/p/Coroplast-36-in-x-24-in-x-0-157-in-4mm-White-Corrugated-Twinwall-Plastic-Sheet-COR-2436/202090128" TargetMode="External"/><Relationship Id="rId5" Type="http://schemas.openxmlformats.org/officeDocument/2006/relationships/hyperlink" Target="https://flywoo.net/products/flywoo-explorer-molicell-p45b-21700-4s2p-9000mah-lionpack-battery" TargetMode="External"/><Relationship Id="rId15" Type="http://schemas.openxmlformats.org/officeDocument/2006/relationships/hyperlink" Target="https://www.amazon.com/sprookber-Stainless-Carabiner-Outdoor-Hammock/dp/B0FDQX3244/ref=sxin_18_pa_sp_search_thematic_sspa?content-id=amzn1.sym.8eb671a2-a903-4c3a-b962-ebb867a4f8f8%3Aamzn1.sym.8eb671a2-a903-4c3a-b962-ebb867a4f8f8&amp;crid=3MYVCEFK7HK1X&amp;cv_ct_cx=stainless%2Bsteel%2Bcarabiners%2Bmarine%2Bgrade&amp;keywords=stainless%2Bsteel%2Bcarabiners%2Bmarine%2Bgrade&amp;pd_rd_i=B0FDQX871F&amp;pd_rd_r=a5552fd8-b23c-4b4c-a99f-ebc1dc73634d&amp;pd_rd_w=DYDBC&amp;pd_rd_wg=lLBqU&amp;pf_rd_p=8eb671a2-a903-4c3a-b962-ebb867a4f8f8&amp;pf_rd_r=E8WV36H38SR1YHNJ5SMB&amp;qid=1785963950&amp;sbo=RZvfv%2F%2FHxDF%2BO5021pAnSA%3D%3D&amp;sprefix=carabiners%2Bmarine%2Bstainless%2Bs%2Caps%2C218&amp;sr=1-1-6024b2a3-78e4-4fed-8fed-e1613be3bcce-spons&amp;aref=ZLjRwj2JdK&amp;sp_csd=d2lkZ2V0TmFtZT1zcF9zZWFyY2hfdGhlbWF0aWM&amp;th=1" TargetMode="External"/><Relationship Id="rId10" Type="http://schemas.openxmlformats.org/officeDocument/2006/relationships/hyperlink" Target="https://www.homedepot.com/p/Charlotte-Pipe-3-4-in-PVC-Schedule-40-S-x-S-x-S-x-S-Cross-PVC024100600HD/203812455" TargetMode="External"/><Relationship Id="rId19" Type="http://schemas.openxmlformats.org/officeDocument/2006/relationships/hyperlink" Target="https://www.amazon.com/Hydrospike-Super-Sprayer-Watering-Moisturizer/dp/B00BIU5QPU/ref=sr_1_2?crid=3SEI7JB2A6PD5&amp;dib=eyJ2IjoiMSJ9.GvclpYerhQkkNUXNfPYgoAZcsvO-Pwkvh76xFus2iK3RsnSJN3MRasnALxnd5tcHaeAoguHdIxVM0jZYm6VosvucXdmTpXfLWxi7RFQKMDEFMyDcVjOaKRUqRmcGIzii7wUe-n3nrsDc4kgfzUQ4Po4kHuSClqkqZBEJinGPJedDv6srmQKBDZozL0jPUnWAidPYD7qlrIAbvfJ6TrWTHvlxWWZXpmcDe3H6lNUOXh-yb-HudcBg7DsCaZBMqmO1A4kJ1mX7yDE6AlcuuM0wyLIWYO_2XgpjsrpJuQV7uYg.HgIEUKcJYHvh0hW0qVHQ6MBpmZc55fV14KL1rAMLahY&amp;dib_tag=se&amp;keywords=bottle+head+pump+high+pressure&amp;qid=1785962302&amp;sprefix=bottle+head+pump+high+presu%2Caps%2C185&amp;sr=8-2" TargetMode="External"/><Relationship Id="rId4" Type="http://schemas.openxmlformats.org/officeDocument/2006/relationships/hyperlink" Target="https://www.amazon.com/ESP-WROOM-32-Development-Microcontroller-Integrated-Compatible/dp/B08D5ZD528?th=1" TargetMode="External"/><Relationship Id="rId9" Type="http://schemas.openxmlformats.org/officeDocument/2006/relationships/hyperlink" Target="https://www.homedepot.com/p/DURA-3-4-in-Schedule-40-PVC-45-Degree-Elbow-C417-007/100346876" TargetMode="External"/><Relationship Id="rId14" Type="http://schemas.openxmlformats.org/officeDocument/2006/relationships/hyperlink" Target="https://www.amazon.com/dp/B0CPTD1V2B/ref=sspa_dk_detail_right_aax_0?sp_csd=d2lkZ2V0TmFtZT1zcF9kZXRhaWxfcmlnaHRfc2hhcmVk&amp;th=1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i:/s/MarineRoboticsGroup/EfDXepo9GfZNiHzHWbOpU4MBrql24T5MxbPIhHYDeQTiTw?e=KTy8Vp" TargetMode="External"/><Relationship Id="rId21" Type="http://schemas.openxmlformats.org/officeDocument/2006/relationships/hyperlink" Target="https://www.amazon.com/BOJACK-Electrolytic-Capacitor-Assortment-0-1uF%EF%BC%8D1000uF/dp/B07PBQXQNQ/ref=pd_bxgy_d_sccl_1/131-0065994-2779010?pd_rd_w=0XRwa&amp;content-id=amzn1.sym.de9a1315-b9df-4c24-863c-7afcb2e4cc0a&amp;pf_rd_p=de9a1315-b9df-4c24-863c-7afcb2e4cc0a&amp;pf_rd_r=3GBDM4J7FSXAJFG9Y84R&amp;pd_rd_wg=1jwFK&amp;pd_rd_r=07a908f5-0921-4339-8258-e5e17a238c2f&amp;pd_rd_i=B07PBQXQNQ&amp;psc=1" TargetMode="External"/><Relationship Id="rId42" Type="http://schemas.openxmlformats.org/officeDocument/2006/relationships/hyperlink" Target="../../../../../:i:/s/MarineRoboticsGroup/Ecg0nZXrcmRIlQDhB1_TBD0BEdNxlfzLFkL2H_zN9YXbNg?e=kLRIQu" TargetMode="External"/><Relationship Id="rId47" Type="http://schemas.openxmlformats.org/officeDocument/2006/relationships/hyperlink" Target="https://www.amazon.com/Black-Nylon-Standoff-Spacers-Screws/dp/B0F297R23T?s=industrial" TargetMode="External"/><Relationship Id="rId63" Type="http://schemas.openxmlformats.org/officeDocument/2006/relationships/hyperlink" Target="https://www.vistaprint.com/labels-stickers/custom-stickers/single-stickers" TargetMode="External"/><Relationship Id="rId68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XT30PW%2Epng&amp;parent=%2Fsites%2FMarineRoboticsGroup%2FShared%20Documents%2FOPS%2D1%20Operations%2FFall%202025%20Finances%2FFall%202025%20Bill%20Proof%2FMarine%20Robotics%20Group%20FY27%20Budget" TargetMode="External"/><Relationship Id="rId84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Toggle%5FSwitch%2Epng&amp;parent=%2Fsites%2FMarineRoboticsGroup%2FShared%20Documents%2FOPS%2D1%20Operations%2FFall%202025%20Finances%2FFall%202025%20Bill%20Proof%2FMarine%20Robotics%20Group%20FY27%20Budget" TargetMode="External"/><Relationship Id="rId89" Type="http://schemas.openxmlformats.org/officeDocument/2006/relationships/hyperlink" Target="https://www.amazon.com/Hxchen-Plastic-Hexagon-Standoff-Pillars/dp/B083GLPTRK/" TargetMode="External"/><Relationship Id="rId16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Acrylic%20sheets%2Epng&amp;parent=%2Fsites%2FMarineRoboticsGroup%2FShared%20Documents%2FOPS%2D1%20Operations%2FFall%202025%20Finances%2FFall%202025%20Bill%20Proof%2FMarine%20Robotics%20Group%20FY27%20Budget" TargetMode="External"/><Relationship Id="rId11" Type="http://schemas.openxmlformats.org/officeDocument/2006/relationships/hyperlink" Target="https://www.totalboat.com/collections/resins/products/5-1-marine-epoxy-resin-kits" TargetMode="External"/><Relationship Id="rId32" Type="http://schemas.openxmlformats.org/officeDocument/2006/relationships/hyperlink" Target="../../../../../:i:/s/MarineRoboticsGroup/EUarsg-nFlpGrLD1j9HRZWQBmC6b1HzqsnC1a1W3RBPzoA?e=tCLWog" TargetMode="External"/><Relationship Id="rId37" Type="http://schemas.openxmlformats.org/officeDocument/2006/relationships/hyperlink" Target="https://www.amazon.com/Solder-Rosin-Electrical-Soldering-1-0mm/dp/B08CNC29QD" TargetMode="External"/><Relationship Id="rId53" Type="http://schemas.openxmlformats.org/officeDocument/2006/relationships/hyperlink" Target="https://www.matterhackers.com/store/l/blue-mh-build-series-petg-filament-175mm-1kg/sk/M-S9R-X9GU" TargetMode="External"/><Relationship Id="rId58" Type="http://schemas.openxmlformats.org/officeDocument/2006/relationships/hyperlink" Target="../../../../../:i:/s/MarineRoboticsGroup/EVI9WvlQWKBEoL15h2YjXEsBshYFUn0a1Umxq1R2Q_b_eQ?e=TTOLru" TargetMode="External"/><Relationship Id="rId74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TargetMode="External"/><Relationship Id="rId79" Type="http://schemas.openxmlformats.org/officeDocument/2006/relationships/hyperlink" Target="https://www.amazon.com/WayPonDEV-RPLIDAR-C1-Avoidance-Navigation/dp/B0CMTXV5RC?crid=3QALGJ7HYTRV0&amp;dib=eyJ2IjoiMSJ9.OwQ79Rp173M0tkZRP3OIqwi3_GCeM-vu2zOCRsVg9e3bpAyH-rvEK75Q2sSZ4paGt2cLE0WO8QqPGNH85vorkS_VywiaAk5h3-eGb71WsxPw_h4r8QqRW9VFw8BriY7CVHyPDs1muzoFNDfGMmIwfomyI7VtC1-1WBJWPR6JhcXkE4LYgJbIXbm1ZobYnf2R8OImb0yFz1sp1CIqOZYoDPzF4aQzRLUBaZ08m_AHtUo.sTbQSbmfiHDhbFEdGBXJLpLuv4oS2D99yRkl9tCyzXY&amp;dib_tag=se&amp;keywords=slamtec+lidar+c1&amp;qid=1738007442&amp;s=electronics&amp;sprefix=slamtec+lidar+c1%2Celectronics%2C82&amp;sr=1-3" TargetMode="External"/><Relationship Id="rId5" Type="http://schemas.openxmlformats.org/officeDocument/2006/relationships/hyperlink" Target="../../../../../:i:/s/MarineRoboticsGroup/ESx6txSAH4xHmiSk6PtR-YoBfSoaZzXP-AGGiaCyH8OPCw?e=GKcz8m" TargetMode="External"/><Relationship Id="rId90" Type="http://schemas.openxmlformats.org/officeDocument/2006/relationships/hyperlink" Target="https://www.amazon.com/100PCS-Round-Machine-Fastener-Phillips/dp/B0D5HYKZYN/" TargetMode="External"/><Relationship Id="rId14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lywood%20sheets%2Epng&amp;parent=%2Fsites%2FMarineRoboticsGroup%2FShared%20Documents%2FOPS%2D1%20Operations%2FFall%202025%20Finances%2FFall%202025%20Bill%20Proof%2FMarine%20Robotics%20Group%20FY27%20Budget" TargetMode="External"/><Relationship Id="rId22" Type="http://schemas.openxmlformats.org/officeDocument/2006/relationships/hyperlink" Target="../../../../../:i:/s/MarineRoboticsGroup/ES9IXaRUeF9BsfoBB8cygE0Bv236zxbTyDUPVGdJmjZpgg?e=omA5yC" TargetMode="External"/><Relationship Id="rId27" Type="http://schemas.openxmlformats.org/officeDocument/2006/relationships/hyperlink" Target="https://www.amazon.com/Amass-Bullet-Connector-Upgrated-Sheath/dp/B07Y37X6L7?crid=32T0FA0SHTXQI&amp;dib=eyJ2IjoiMSJ9.tWcrhNH0puUssHPwcLXvKKwoqV64fzQB95qDEx86i4lj6IjfcQ-ObC-sB5k-Tpn2sH6AAjIaGJxmt2fs42lOzVLXkf7EY8tNEdTofDuoyQ4oSjETiE-IYZG-wAS9ExX4UNr_3jtpcLiKwZSdFZcbB-Z01Prkk6t2CJ3rkmEcOjCM7E14QXhde2Ga9BT-GL4cYBBW4Ee_FhXeOIyHV_NGu40Rus5oxK3ekiCtBk253O2AtlpH1ll8DoxnZtkgAyjq2VLER4CMp5yhxNcfuu8neKFfmBp7621sekp3uteEXng.YLCpzWnJRVE_rYmhDYnqCWqb_Ar-d9i-TKmyZlNfQ_c&amp;dib_tag=se&amp;keywords=xt%2Bpower%2Bconnectors&amp;qid=1761947287&amp;sprefix=xt%2Bpower%2Bconn%2Caps%2C124&amp;sr=8-5&amp;th=1" TargetMode="External"/><Relationship Id="rId30" Type="http://schemas.openxmlformats.org/officeDocument/2006/relationships/hyperlink" Target="../../../../../:i:/s/MarineRoboticsGroup/ERgQM09-hZtJkiHQAEQXigkBOn_hy-asmEfzOkqQSQCHGQ?e=9WGNKl" TargetMode="External"/><Relationship Id="rId35" Type="http://schemas.openxmlformats.org/officeDocument/2006/relationships/hyperlink" Target="https://www.amazon.com/Amass-Female-Connector-Multicopter-Airplane/dp/B0747MW9RX" TargetMode="External"/><Relationship Id="rId43" Type="http://schemas.openxmlformats.org/officeDocument/2006/relationships/hyperlink" Target="https://www.amazon.com/gp/aw/d/B07B53LNGX/?_encoding=UTF8&amp;pd_rd_plhdr=t&amp;aaxitk=091b2da687e8b5313966ff9e19230389&amp;hsa_cr_id=7422912750601&amp;qid=1762360135&amp;sr=1-2-9e67e56a-6f64-441f-a281-df67fc737124&amp;ref_=sbx_s_sparkle_sbtcd_asin_1_title&amp;pd_rd_w=eKuVf&amp;content-id=amzn1.sym.9f2b2b9e-47e9-4764-a4dc-2be2f6fca36d%253Aamzn1.sym.9f2b2b9e-47e9-4764-a4dc-2be2f6fca36d&amp;pf_rd_p=9f2b2b9e-47e9-4764-a4dc-2be2f6fca36d&amp;pf_rd_r=0R1D2R1TDJM5ABB06VXX&amp;pd_rd_wg=DhXqp&amp;pd_rd_r=7b5ffcf1-be54-44ec-97c5-79a4a1405eeb" TargetMode="External"/><Relationship Id="rId48" Type="http://schemas.openxmlformats.org/officeDocument/2006/relationships/hyperlink" Target="../../../../../:i:/s/MarineRoboticsGroup/EZ2synEgzMhCrMZxTaXMk5wBkNGbkAt7wQX6QJxxohEabQ?e=Dulrt9" TargetMode="External"/><Relationship Id="rId56" Type="http://schemas.openxmlformats.org/officeDocument/2006/relationships/hyperlink" Target="../../../../../:i:/s/MarineRoboticsGroup/EV3oD4ParU1EiJt1J5nARKgBDXRjNy7bt4FFbis9RglEFg?e=we47Rv" TargetMode="External"/><Relationship Id="rId64" Type="http://schemas.openxmlformats.org/officeDocument/2006/relationships/hyperlink" Target="../../../../../:i:/s/MarineRoboticsGroup/EaMwlTcfNGlCqXevLnxBoM8BDeKoh95Tiz6mFrbaEFa5Pw?e=tgDkQ1" TargetMode="External"/><Relationship Id="rId69" Type="http://schemas.openxmlformats.org/officeDocument/2006/relationships/hyperlink" Target="https://www.amazon.com/Raspberry-Model-2019-Quad-Bluetooth/dp/B07TC2BK1X?crid=29EX922BGYDYI&amp;dib=eyJ2IjoiMSJ9.HavuMzOx0pibLLpdWCmY09lLx1FUneD-7RHwdKXJCF5q3uo0ch21CiFIAoCU2IxrgQ8jX1MvqTXKadpBUHDyqdB5aB-LAwzn6S7dbVxe4Z71NNf3Ucvl05bQxti5I8Io4q5b6t4-tJ3tx0tHg_EscCnk__t0g0yOPO3AGjOdCvOBy99qKWJPrmRMv3rAfjCVwVipCp_kOj7q6-o8T53BS0ys2SoorXGOBpZoitkry-A.WQlTK-DSR80jCebFHKsZXheFkPEti5GkeRPqlRmwUg8&amp;dib_tag=se&amp;keywords=pi%2B4&amp;qid=1756321593&amp;sprefix=pi%2B4%2Caps%2C114&amp;sr=8-1&amp;th=1" TargetMode="External"/><Relationship Id="rId77" Type="http://schemas.openxmlformats.org/officeDocument/2006/relationships/hyperlink" Target="https://www.amazon.com/Argzm-Notebook-1280x720p-Resolution-Streaming/dp/B0DKJ1W3VG?crid=1STYFBOC17KOH&amp;dib=eyJ2IjoiMSJ9.GbszRIWH8Tr0LB48qlQhzhYoZI_s-Zzd47dyXO-sY3sJQbqPeAlHZIAvcfgvPe0KY0Tp73i_AqjqAKzePXcgkGVMMcIKwPeX72NOwVPye56luXfgpES8UJxwldfhBuI5QLJbBV8HYPG8xCOLfJG2a7Ck8-8ZfTU01vp-zO_cyF_CYgNnLBFq2r37uhmiXPlbIVi3rPJXP8-ZY3t-FMADudxAN6Es0d_0l_FL9NZ-a3nsURLgA2cLtEquNiHGXP6YJV8wKucjiDAxAfB7hGI0x4aO797uAJSyOuDpKOXWysE_itoJmcO4RxlPryZEudJWPsnb8PkaBeX3a2ttEChB5c4NJm2x3wc_FcNoE1iNJoc.p6bh4nipJ0S-GnD1O-Atd93kvAyZ1PD_vfAVJNy7mXE&amp;dib_tag=se&amp;keywords=USB+Camera+Module+OV9726&amp;qid=1734376226&amp;s=electronics&amp;sprefix=usb+camera+module+ov9726+%2Celectronics%2C80&amp;sr=1-7" TargetMode="External"/><Relationship Id="rId8" Type="http://schemas.openxmlformats.org/officeDocument/2006/relationships/hyperlink" Target="../../../../../:i:/s/MarineRoboticsGroup/EXnLcZpky-pMkV0fK8mbc90BiXmr4wJhw9z9tljRRtPu7Q?e=EQh8Pp" TargetMode="External"/><Relationship Id="rId51" Type="http://schemas.openxmlformats.org/officeDocument/2006/relationships/hyperlink" Target="https://www.matterhackers.com/store/l/petg-white-high-strength-filament-1.75mm/sk/M1VF5877" TargetMode="External"/><Relationship Id="rId72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TargetMode="External"/><Relationship Id="rId80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TargetMode="External"/><Relationship Id="rId85" Type="http://schemas.openxmlformats.org/officeDocument/2006/relationships/hyperlink" Target="https://www.amazon.com/Antenna-Pigtail-Wireless-Routers-Repeater/dp/B07R21LN5P" TargetMode="External"/><Relationship Id="rId3" Type="http://schemas.openxmlformats.org/officeDocument/2006/relationships/hyperlink" Target="../../../../../:i:/s/MarineRoboticsGroup/EbLY9A0czAVHukJFfCiCBwMB3wFcmON8BqKc_2H27fC5RA?e=pG6MD7" TargetMode="External"/><Relationship Id="rId12" Type="http://schemas.openxmlformats.org/officeDocument/2006/relationships/hyperlink" Target="../../../../../:i:/s/MarineRoboticsGroup/EVwKNyeN_VROn5ceTHe4WBoBUcfUxFyVUFETeez8qYYohw?e=Gf1nRP" TargetMode="External"/><Relationship Id="rId17" Type="http://schemas.openxmlformats.org/officeDocument/2006/relationships/hyperlink" Target="https://www.homedepot.com/p/2-in-x-4-in-x-10-ft-2-Premium-Grade-SPF-Dimensional-Lumber-6091/314732316" TargetMode="External"/><Relationship Id="rId25" Type="http://schemas.openxmlformats.org/officeDocument/2006/relationships/hyperlink" Target="https://www.amazon.com/EEEEE-Resistor-Compliant-resistors-Assortment/dp/B08BNDL6DS?crid=EJDGB8SNRXMO&amp;dib=eyJ2IjoiMSJ9.AWTb0VWj_VeGON_MhSkmP2fSaYvP2_Uwa1UvT8hlJ5RDsN5xlpBl-8Rj2cc8R8Y-81eWZt49blUAyWhB-c5eVgXDIYW2tfLObMRy4nzzXkw0JKbUk5DYDd8_R-oR_KUywcLLAXCydqhCskhlC018HKuxTH_BbYlLuf7krhtZBXeplM5Kj6jdinnDdUedkQAK5AUxMxu5I0pTNY3ZLIyDteqZ2QbIj_ZJWVrl5mT-eNs.DpLJqYY_PxaP6_aqJ_2F4szNCJrEfeas5GdY0WdfLcg&amp;dib_tag=se&amp;keywords=assorted+through+hole+components&amp;qid=1761946939&amp;sprefix=assorted+through+hole+components%2Caps%2C89&amp;sr=8-3" TargetMode="External"/><Relationship Id="rId33" Type="http://schemas.openxmlformats.org/officeDocument/2006/relationships/hyperlink" Target="https://www.amazon.com/AFDHGS-Connector-Solder-Point-Cover/dp/B0D8756R7L?s=toys-and-games&amp;sp_csd=d2lkZ2V0TmFtZT1zcF9hdGY&amp;psc=1" TargetMode="External"/><Relationship Id="rId38" Type="http://schemas.openxmlformats.org/officeDocument/2006/relationships/hyperlink" Target="../../../../../:i:/s/MarineRoboticsGroup/ESrP4Aafy0JMoS7ap1KIGukBnEZqLDzXup29jdH4vgtY7w?e=rQAf8E" TargetMode="External"/><Relationship Id="rId46" Type="http://schemas.openxmlformats.org/officeDocument/2006/relationships/hyperlink" Target="../../../../../:i:/s/MarineRoboticsGroup/EU50S7lYh3pHr5m5VuoCN_EBeB3h78vX7f0-j7N1rs24XA?e=c8gddl" TargetMode="External"/><Relationship Id="rId59" Type="http://schemas.openxmlformats.org/officeDocument/2006/relationships/hyperlink" Target="https://www.amazon.com/DIVANC-Assortment-2000PCS-Machine-Stainless/dp/B0F4PK54PY?sp_csd=d2lkZ2V0TmFtZT1zcF9hdGY" TargetMode="External"/><Relationship Id="rId67" Type="http://schemas.openxmlformats.org/officeDocument/2006/relationships/hyperlink" Target="https://www.amazon.com/dp/B0DZ266X7P/ref=sspa_dk_detail_0?psc=1&amp;pd_rd_i=B0DZ266X7P&amp;pd_rd_w=azfNj&amp;content-id=amzn1.sym.7446a9d1-25fe-4460-b135-a60336bad2c9&amp;pf_rd_p=7446a9d1-25fe-4460-b135-a60336bad2c9&amp;pf_rd_r=B2HT7DA8D5YMPY86MMT4&amp;pd_rd_wg=p4pNd&amp;pd_rd_r=78d12a18-10a9-4c51-b028-566291847bf7&amp;sp_csd=d2lkZ2V0TmFtZT1zcF9kZXRhaWw" TargetMode="External"/><Relationship Id="rId20" Type="http://schemas.openxmlformats.org/officeDocument/2006/relationships/hyperlink" Target="../../../../../:i:/s/MarineRoboticsGroup/EaoaMe7XM_5Io0l7z-_uG-4BmLZOVDwT8GT-hac8Pw9GzQ?e=0PTnc4" TargetMode="External"/><Relationship Id="rId41" Type="http://schemas.openxmlformats.org/officeDocument/2006/relationships/hyperlink" Target="https://www.amazon.com/Glarks-Perfectly-Compatible-Connector-Assortment/dp/B07CTKD7P4/ref=sr_1_3?crid=2B9W6QC6YGIOR&amp;dib=eyJ2IjoiMSJ9.9Tr-VL_JsKVV0UzHK5Ts4HOhTlSW3dlKTJNqlLmNtoYNIXNSDgkzRtSS2rL5FI3bCX6tGIC2l41NJGIcBW7uLfv11GMpMLnZnis3cNPU_-u9hcIdHoglShLRWK7fSQJernayM91fpqKMrY2vU8_hLzpNmxbFRgfSHaw04gKCnDUFmeNVugFXuVdGRErgv-sQbqrHBYtqscUNwoQPGSIrAqXmx13owNnMr8c0sAk2puA.GhRIrik3zp0OUyQVyWO0iWnJeJdp_o7nf25nymKa8Zo&amp;dib_tag=se&amp;keywords=jst+male+female+connector+kit&amp;qid=1762359452&amp;sprefix=jst+male+female+%2Caps%2C104&amp;sr=8-3" TargetMode="External"/><Relationship Id="rId54" Type="http://schemas.openxmlformats.org/officeDocument/2006/relationships/hyperlink" Target="../../../../../:i:/s/MarineRoboticsGroup/Ef2Key6R2LpAvm3J_n5yNx0B7EOscX0Obbpyn6g7blnCPw?e=jIQkv3" TargetMode="External"/><Relationship Id="rId62" Type="http://schemas.openxmlformats.org/officeDocument/2006/relationships/hyperlink" Target="../../../../../:i:/s/MarineRoboticsGroup/EerYjNhtq5tPmQpEdws6RNYBRakrQdZdthYowTlcCJweZQ?e=RTKgEM" TargetMode="External"/><Relationship Id="rId70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Rapsberry%5FPi%5F4%2Epng&amp;parent=%2Fsites%2FMarineRoboticsGroup%2FShared%20Documents%2FOPS%2D1%20Operations%2FFall%202025%20Finances%2FFall%202025%20Bill%20Proof%2FMarine%20Robotics%20Group%20FY27%20Budget" TargetMode="External"/><Relationship Id="rId75" Type="http://schemas.openxmlformats.org/officeDocument/2006/relationships/hyperlink" Target="https://www.amazon.com/Microcontroller-Compatible-Sensitivity-Navigation-Positioning/dp/B0CWL6QZN8?th=1" TargetMode="External"/><Relationship Id="rId83" Type="http://schemas.openxmlformats.org/officeDocument/2006/relationships/hyperlink" Target="https://www.amazon.com/MTS-101-Position-Miniature-Toggle-Switch/dp/B0799LBFNY/?th=1" TargetMode="External"/><Relationship Id="rId88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USB%5FAntenna%5Fadapter%2Epng&amp;parent=%2Fsites%2FMarineRoboticsGroup%2FShared%20Documents%2FOPS%2D1%20Operations%2FFall%202025%20Finances%2FFall%202025%20Bill%20Proof%2FMarine%20Robotics%20Group%20FY27%20Budget" TargetMode="External"/><Relationship Id="rId91" Type="http://schemas.openxmlformats.org/officeDocument/2006/relationships/hyperlink" Target="https://www.amazon.com/Amazon-Basics-microSDXC-Memory-Adapter/dp/B08TJZDJ4D/ref=sr_1_6?dib=eyJ2IjoiMSJ9.0xCMAlELkYzvhxN9CQLj65pQc7Ld-VZgB-_Tw83oI9f-xexdSPEJG51P9IesPzsWJ3mxuHEtdZsrnFdWuWCPf6BW_a2Cv5ahFWSJ4Tmd8T3vig0e4rIRNagnHQaS2dOnnhKWXTm_hxHNTQInW1ZXYvbPVyzbeo6B7gCahr_X4mH-AQhNtNO3gArfg95b5HGQ7ROBtY1mTWet6OBw5u9zBDyzKjXH8AVJc5o8nTahNyk.virBL9U5WK_ZTfwP7dnHudqcR52yI5eGGrwU7FV1KkU&amp;dib_tag=se&amp;keywords=256gb%2Bmicro%2Bsd%2Bcard&amp;qid=1758147036&amp;sr=8-6&amp;th=1" TargetMode="External"/><Relationship Id="rId1" Type="http://schemas.openxmlformats.org/officeDocument/2006/relationships/hyperlink" Target="../../../../../:i:/s/MarineRoboticsGroup/EboJZXyD_vNIgsUF9ZkzN1oBcofvIhVApH7KxI_N8f8UHw?e=RVzNK2" TargetMode="External"/><Relationship Id="rId6" Type="http://schemas.openxmlformats.org/officeDocument/2006/relationships/hyperlink" Target="../../../../../:i:/s/MarineRoboticsGroup/EZGoqkWymHhOm_npQld1uwIBykhASKY6RSmXsvTeiErmEg?e=MKBpXM" TargetMode="External"/><Relationship Id="rId15" Type="http://schemas.openxmlformats.org/officeDocument/2006/relationships/hyperlink" Target="https://www.homedepot.com/p/OPTIX-36-in-x-48-in-x-0-093-3-32-in-Clear-Acrylic-Sheet-MC-09/202038045" TargetMode="External"/><Relationship Id="rId23" Type="http://schemas.openxmlformats.org/officeDocument/2006/relationships/hyperlink" Target="https://www.amazon.com/1206-Capacitors-Electronic-Components-Book/dp/B0B2ZSXLV9?crid=373O4CHUMKOHU&amp;dib=eyJ2IjoiMSJ9.KmCiHcgyo5Tw2AIwGztdmi_TJeiuKfnKhzk_OUXYOAZS4VPjHANAlxWZMPosTVXUU7psn_Mc9J2QdeRm1OMhlufOU-xJeQtePyf_IvQfkiYMvNCfQABLU4GgtkDdchyQ4bLBL-1N9yo4e-iZx2L8GI8wfCKd8dyAY76mdi8SF4gW2lhyrQy0Xc4Jke0yZkzYHHxQZ42L5GOXY0EoyZM6pZx84cLvMMoza0sG0G7QCyo.wlKBMFleQcbiHj-Pnq1egWVCBNYHeuHTakcqRY2rxxA&amp;dib_tag=se&amp;keywords=assorted%2Bsmd%2Bcomponents&amp;qid=1761946896&amp;sprefix=assorted%2Bsmd%2Bcomponent%2Caps%2C122&amp;sr=8-2&amp;th=1" TargetMode="External"/><Relationship Id="rId28" Type="http://schemas.openxmlformats.org/officeDocument/2006/relationships/hyperlink" Target="../../../../../:i:/s/MarineRoboticsGroup/EX7Wk05rxydMsOHorOuG13QB8g18S9HnXMfkD-mCd_axuA?e=ubCmju" TargetMode="External"/><Relationship Id="rId36" Type="http://schemas.openxmlformats.org/officeDocument/2006/relationships/hyperlink" Target="../../../../../:i:/s/MarineRoboticsGroup/EdjzHKXMfkNNrgAE-sLyoFoB1MMPllLgBTclTYpOAAa1ow?e=kcnRQD" TargetMode="External"/><Relationship Id="rId49" Type="http://schemas.openxmlformats.org/officeDocument/2006/relationships/hyperlink" Target="https://www.amazon.com/MCMASKE-Metric-Phillips-Screws-Assortment/dp/B0BL3RW7PJ?s=industrial" TargetMode="External"/><Relationship Id="rId57" Type="http://schemas.openxmlformats.org/officeDocument/2006/relationships/hyperlink" Target="https://www.matterhackers.com/store/l/175mm-pla-filament-blue-1-kg/sk/M-MQF-QZ5S" TargetMode="External"/><Relationship Id="rId10" Type="http://schemas.openxmlformats.org/officeDocument/2006/relationships/hyperlink" Target="../../../../../:i:/s/MarineRoboticsGroup/ERbaYFxNJFZPnADN4sqUN8wBoouS_2VSTLjmNXSumFNmJw?e=dgcK0F" TargetMode="External"/><Relationship Id="rId31" Type="http://schemas.openxmlformats.org/officeDocument/2006/relationships/hyperlink" Target="https://jlcpcb.com/" TargetMode="External"/><Relationship Id="rId44" Type="http://schemas.openxmlformats.org/officeDocument/2006/relationships/hyperlink" Target="../../../../../:i:/s/MarineRoboticsGroup/EalxgZ9xY_dPnwUJiSEjRE4B9TsiQ8xqlyHaSVPMkZH4Og?e=JvSc8Q" TargetMode="External"/><Relationship Id="rId52" Type="http://schemas.openxmlformats.org/officeDocument/2006/relationships/hyperlink" Target="../../../../../:i:/s/MarineRoboticsGroup/EdiprYA2FwZMi8bI4S36xOIBUXUifk5zV3syJupumkqK6Q?e=5uNR5V" TargetMode="External"/><Relationship Id="rId60" Type="http://schemas.openxmlformats.org/officeDocument/2006/relationships/hyperlink" Target="../../../../../:i:/s/MarineRoboticsGroup/EVMSy11kzKBLqkjjHEHLpZoB-Z4J3ZKaLUTPnehGbCzUWw?e=W7sjV1" TargetMode="External"/><Relationship Id="rId65" Type="http://schemas.openxmlformats.org/officeDocument/2006/relationships/hyperlink" Target="https://www.amazon.com/XT60PW-Female-Connector-Adapter-Battery/dp/B07VRLQ2C5?crid=2P5TPOHC6TILQ&amp;dib=eyJ2IjoiMSJ9.SUL80rmVSbwUU0GjVnFfqLQPf944UZeuaDAKBZdsPWtfm_u_MjbTboEDBT3y7YZt5WUm4OgllS2Gi3ZJmpq7uvq7-rDnGFMABVZ-p0fCgKDBBqpX0rsiEPI5t20nyHbTxthS1ipFNR5A-K5l3GA7kKca0omtKaZCnI6RaCV9X--X7yKcZJtYiKLuGvJtp74AGcidHRRhdZmg6QGhkuLuz8jlI-bHnzJk8Mnmn3TWxX6iZKeQSiSIWc2rGVzxp60iszeh-d8wMAGptbpLT30u5zanPtlNuWgeDuc_y43jgbo.gneig4jclFi8nP6LOZ3U0D25QLsI-1q2AUu1daWpgDQ&amp;dib_tag=se&amp;keywords=xt60+pw+m&amp;qid=1756319127&amp;sprefix=xt60+pw+m%2Caps%2C98&amp;sr=8-2" TargetMode="External"/><Relationship Id="rId73" Type="http://schemas.openxmlformats.org/officeDocument/2006/relationships/hyperlink" Target="https://www.mouser.com/ProductDetail/Adafruit/4554?qs=DPoM0jnrROVsh%2FR5VsCmTg%3D%3D" TargetMode="External"/><Relationship Id="rId78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TargetMode="External"/><Relationship Id="rId81" Type="http://schemas.openxmlformats.org/officeDocument/2006/relationships/hyperlink" Target="https://www.amazon.com/1800mAh-M4-FPV250-Shredder-Nighthawk-Airplane/dp/B013I9SAHO?s=toys-and-games" TargetMode="External"/><Relationship Id="rId86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Antenna%2Epng&amp;parent=%2Fsites%2FMarineRoboticsGroup%2FShared%20Documents%2FOPS%2D1%20Operations%2FFall%202025%20Finances%2FFall%202025%20Bill%20Proof%2FMarine%20Robotics%20Group%20FY27%20Budget" TargetMode="External"/><Relationship Id="rId4" Type="http://schemas.openxmlformats.org/officeDocument/2006/relationships/hyperlink" Target="https://robonation.gitbook.io/robosub-resources/section-6-how-to-compete/6.1-registration" TargetMode="External"/><Relationship Id="rId9" Type="http://schemas.openxmlformats.org/officeDocument/2006/relationships/hyperlink" Target="https://www.totalboat.com/collections/fiberglass/products/4-oz-fiberglass-cloth" TargetMode="External"/><Relationship Id="rId13" Type="http://schemas.openxmlformats.org/officeDocument/2006/relationships/hyperlink" Target="https://www.nationalbalsa.com/products/3161248bp" TargetMode="External"/><Relationship Id="rId18" Type="http://schemas.openxmlformats.org/officeDocument/2006/relationships/hyperlink" Target="../../../../../:i:/s/MarineRoboticsGroup/EUBKUt2b3pVNjtM2GX8wwOYB6ls7J18un6dm1aJsyRx-jw?e=ma5Vda" TargetMode="External"/><Relationship Id="rId39" Type="http://schemas.openxmlformats.org/officeDocument/2006/relationships/hyperlink" Target="https://www.amazon.com/Kidisoii-Connector-Premium-Pre-Crimped-XH-MF-Kit/dp/B0CKZD8KJR/ref=sr_1_6?crid=238TQMWP4ZLQJ&amp;dib=eyJ2IjoiMSJ9.PZxAWIJ4RaQWYQu380xy5IQIwiC_SDK_trNnUz5WgXopsyBv7KphBYSZwkK0lG0Q_950fSa_-bXCXonoE8zlOacoffkU4wTnIWEVo-OX5B3YXGnvD4c5Rs3LzYMQUyp5lxrAIgCC2Yd5kSlinQJfj6z8qQ5-9zvZ2dV_TFx3R8ZufwU70wZ1dCmQznW-VEN-px54fq5lR84b35QR7_BC2FJP-J4bj8E4C8AzphHq_TY.hf1T8z_y3Hf6lB31vrddKZKSzuECLMl5sYPHSEwdg2E&amp;dib_tag=se&amp;keywords=jst%2Bxh%2Bmale%2Bfemale%2Bconnector%2Bkit&amp;qid=1762359276&amp;sprefix=jst%2Bxh%2Bmale%2Bfemale%2Bconnector%2Bkit%2Caps%2C97&amp;sr=8-6&amp;th=1" TargetMode="External"/><Relationship Id="rId34" Type="http://schemas.openxmlformats.org/officeDocument/2006/relationships/hyperlink" Target="../../../../../:i:/s/MarineRoboticsGroup/EVe08jQEWjpMmiaU-F0ic10BjdTg0LB2nVvuLAgAIbxP1A?e=Y9dBs6" TargetMode="External"/><Relationship Id="rId50" Type="http://schemas.openxmlformats.org/officeDocument/2006/relationships/hyperlink" Target="../../../../../:i:/s/MarineRoboticsGroup/EblSWOH9dLBHjL42qy48qJkBhaF0qZ-FqikQxKml71c1_Q?e=DbIyIN" TargetMode="External"/><Relationship Id="rId55" Type="http://schemas.openxmlformats.org/officeDocument/2006/relationships/hyperlink" Target="https://www.matterhackers.com/store/l/175mm-pla-filament-white-1-kg/sk/MEEDKTKU" TargetMode="External"/><Relationship Id="rId76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TargetMode="External"/><Relationship Id="rId7" Type="http://schemas.openxmlformats.org/officeDocument/2006/relationships/hyperlink" Target="https://www.lowes.com/pd/Owens-Corning-FOAMULAR-NGX-F-250-2-in-x-48-in-x-96-in-Scored-Square-Edge-XPS-Rigid-Foam-Board-Insulation/5005553115" TargetMode="External"/><Relationship Id="rId71" Type="http://schemas.openxmlformats.org/officeDocument/2006/relationships/hyperlink" Target="https://www.pololu.com/product/4082" TargetMode="External"/><Relationship Id="rId2" Type="http://schemas.openxmlformats.org/officeDocument/2006/relationships/hyperlink" Target="../../../../../:i:/s/MarineRoboticsGroup/ETDFip5KOZtEojg09gXmBl4BOc8RSG9bbucTpXyF4YTPhg?e=HUPdah" TargetMode="External"/><Relationship Id="rId29" Type="http://schemas.openxmlformats.org/officeDocument/2006/relationships/hyperlink" Target="https://www.amazon.com/Taiss-Connector-Housing-Connectors-F-066-580PCS/dp/B0BHT1FQGY?crid=2H0U3QKMUCZG2&amp;dib=eyJ2IjoiMSJ9.VHOOS5WzNc_wO_nPTHAYnyLn0MS6G-tZWbt88Lb5TS8iGFYRPsWLRz51HH2yeSB8WeUuDpDnuguyzKQszw81watuPD4dke4lYM557367fZhG1OwsE3v_Z9mzZijYbX_AMXklqSZbuABOmHUqF3uBmsEjDINgoJrZXzxAXdw3SnMmKyrAxFlq8wio6OmBez0oNymYAvbM0GAm1SGf1423RW80ISwtHXjoKmpzn1OzJZ-73ATA1GvBHvsutwpr2m1JrGYYPzkTn_GkMeyxZXNv6i_9xu_-Zu2Z34_gkbz7P-c.NUridlgTcDM3G9-8D2G_lgXcABCGO0qDKQEbLvfP1UE&amp;dib_tag=se&amp;keywords=jst%2Bconnector&amp;qid=1761947342&amp;sprefix=jst%2Bconn%2Caps%2C144&amp;sr=8-10&amp;th=1" TargetMode="External"/><Relationship Id="rId24" Type="http://schemas.openxmlformats.org/officeDocument/2006/relationships/hyperlink" Target="../../../../../:i:/s/MarineRoboticsGroup/EYswcXGWodFBq-HuGdg1iccBJCkT8VS7qnB6VVu_7ve7GA?e=ZlHQFg" TargetMode="External"/><Relationship Id="rId40" Type="http://schemas.openxmlformats.org/officeDocument/2006/relationships/hyperlink" Target="../../../../../:i:/s/MarineRoboticsGroup/Edo8T5rCKedNl2fi-byxJUYBL8QX6dz6OOXTmhwt6p2nog?e=DZPQog" TargetMode="External"/><Relationship Id="rId45" Type="http://schemas.openxmlformats.org/officeDocument/2006/relationships/hyperlink" Target="https://www.amazon.com/Standoff-Motherboard-Hexagon-Spacer-Assortment/dp/B0B2MPJB9S" TargetMode="External"/><Relationship Id="rId66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XT60PW%2Epng&amp;parent=%2Fsites%2FMarineRoboticsGroup%2FShared%20Documents%2FOPS%2D1%20Operations%2FFall%202025%20Finances%2FFall%202025%20Bill%20Proof%2FMarine%20Robotics%20Group%20FY27%20Budget" TargetMode="External"/><Relationship Id="rId87" Type="http://schemas.openxmlformats.org/officeDocument/2006/relationships/hyperlink" Target="https://www.amazon.com/EDUP-ac600Mbps-Wireless-External-10-6-10-13/dp/B01CCMUN8C?th=1" TargetMode="External"/><Relationship Id="rId61" Type="http://schemas.openxmlformats.org/officeDocument/2006/relationships/hyperlink" Target="https://www.vistaprint.com/signs-posters/vinyl-banners" TargetMode="External"/><Relationship Id="rId82" Type="http://schemas.openxmlformats.org/officeDocument/2006/relationships/hyperlink" Target="../..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TargetMode="External"/><Relationship Id="rId19" Type="http://schemas.openxmlformats.org/officeDocument/2006/relationships/hyperlink" Target="https://www.amazon.com/Electronic-Components-Assortment-Transistors-Switching/dp/B0BXHNX1BJ/ref=pd_bxgy_d_sccl_1/131-0065994-2779010?pd_rd_w=UiC4g&amp;content-id=amzn1.sym.de9a1315-b9df-4c24-863c-7afcb2e4cc0a&amp;pf_rd_p=de9a1315-b9df-4c24-863c-7afcb2e4cc0a&amp;pf_rd_r=T6KA22QB5CZ1QRMQQH5E&amp;pd_rd_wg=1wr5d&amp;pd_rd_r=01084fa8-5187-4400-826a-c95a8486d7ba&amp;pd_rd_i=B0BXHNX1BJ&amp;psc=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../../../../../:x:/s/MarineRoboticsGroup/EQx1FSN4uSFLnbRGMZhjIIkBUU1dRy6Pte5ErvaJrsVhfA?e=KdccC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8"/>
  <sheetViews>
    <sheetView tabSelected="1" topLeftCell="F1" zoomScale="119" zoomScaleNormal="85" workbookViewId="0">
      <pane ySplit="1" topLeftCell="G32" activePane="bottomLeft" state="frozen"/>
      <selection pane="bottomLeft" activeCell="K47" sqref="K47:K48"/>
      <selection activeCell="G1" sqref="G1"/>
    </sheetView>
  </sheetViews>
  <sheetFormatPr defaultColWidth="8.85546875" defaultRowHeight="15"/>
  <cols>
    <col min="1" max="1" width="13.42578125" customWidth="1"/>
    <col min="2" max="2" width="18.28515625" customWidth="1"/>
    <col min="3" max="3" width="45.42578125" customWidth="1"/>
    <col min="4" max="4" width="31.42578125" customWidth="1"/>
    <col min="5" max="5" width="33.140625" customWidth="1"/>
    <col min="6" max="6" width="29.28515625" bestFit="1" customWidth="1"/>
    <col min="7" max="7" width="20.7109375" bestFit="1" customWidth="1"/>
    <col min="8" max="8" width="50" customWidth="1"/>
    <col min="9" max="9" width="12" bestFit="1" customWidth="1"/>
    <col min="10" max="10" width="10.7109375" style="9" bestFit="1" customWidth="1"/>
    <col min="11" max="11" width="14" style="9" bestFit="1" customWidth="1"/>
    <col min="12" max="12" width="18.85546875" customWidth="1"/>
    <col min="13" max="13" width="22.85546875" customWidth="1"/>
    <col min="14" max="14" width="20.28515625" customWidth="1"/>
    <col min="15" max="15" width="23" customWidth="1"/>
    <col min="16" max="16" width="13.28515625" customWidth="1"/>
    <col min="18" max="18" width="17.28515625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ht="20.25" customHeight="1">
      <c r="A2" s="31">
        <f ca="1">IF(BillsT[[#This Row],[Item Name]]="","",
-6 + COUNTIF(INDEX(BillsT[Item Name],1):BillsT[[#This Row],[Item Name]],"&lt;&gt;") - 1)</f>
        <v>-6</v>
      </c>
      <c r="B2" s="1">
        <v>0</v>
      </c>
      <c r="C2" s="1" t="s">
        <v>16</v>
      </c>
      <c r="D2" s="1" t="s">
        <v>17</v>
      </c>
      <c r="J2" s="8"/>
      <c r="K2" s="8">
        <f t="shared" ref="K2:K66" si="0">J2*I2</f>
        <v>0</v>
      </c>
      <c r="L2" s="17"/>
      <c r="M2" s="17"/>
      <c r="O2" s="27">
        <f ca="1">IF(BillsT[[#This Row],[Bill Item ID]]="","",(BillsT[[#This Row],[Total Cost]] - SUMIFS(OrderT[Total Cost], OrderT[Bill Item ID], BillsT[[#This Row],[Bill Item ID]])))</f>
        <v>0</v>
      </c>
    </row>
    <row r="3" spans="1:16" s="1" customFormat="1">
      <c r="A3">
        <f ca="1">IF(BillsT[[#This Row],[Item Name]]="","",
-6 + COUNTIF(INDEX(BillsT[Item Name],1):BillsT[[#This Row],[Item Name]],"&lt;&gt;") - 1)</f>
        <v>-5</v>
      </c>
      <c r="B3" s="1">
        <v>0</v>
      </c>
      <c r="C3" s="1" t="s">
        <v>18</v>
      </c>
      <c r="D3" s="1" t="s">
        <v>17</v>
      </c>
      <c r="J3" s="8"/>
      <c r="K3" s="8">
        <f t="shared" si="0"/>
        <v>0</v>
      </c>
      <c r="L3" s="17"/>
      <c r="M3" s="17"/>
      <c r="O3" s="8">
        <f ca="1">IF(BillsT[[#This Row],[Bill Item ID]]="","",(BillsT[[#This Row],[Total Cost]] - SUMIFS(OrderT[Total Cost], OrderT[Bill Item ID], BillsT[[#This Row],[Bill Item ID]])))</f>
        <v>0</v>
      </c>
    </row>
    <row r="4" spans="1:16" s="1" customFormat="1">
      <c r="A4" s="1">
        <f ca="1">IF(BillsT[[#This Row],[Item Name]]="","",
-6 + COUNTIF(INDEX(BillsT[Item Name],1):BillsT[[#This Row],[Item Name]],"&lt;&gt;") - 1)</f>
        <v>-4</v>
      </c>
      <c r="B4" s="1">
        <v>0</v>
      </c>
      <c r="C4" s="1" t="s">
        <v>19</v>
      </c>
      <c r="D4" s="1" t="s">
        <v>17</v>
      </c>
      <c r="J4" s="8"/>
      <c r="K4" s="8">
        <f t="shared" si="0"/>
        <v>0</v>
      </c>
      <c r="L4" s="17"/>
      <c r="M4" s="17"/>
      <c r="O4" s="8">
        <f ca="1">IF(BillsT[[#This Row],[Bill Item ID]]="","",(BillsT[[#This Row],[Total Cost]] - SUMIFS(OrderT[Total Cost], OrderT[Bill Item ID], BillsT[[#This Row],[Bill Item ID]])))</f>
        <v>0</v>
      </c>
    </row>
    <row r="5" spans="1:16" s="1" customFormat="1">
      <c r="A5" s="1">
        <f ca="1">IF(BillsT[[#This Row],[Item Name]]="","",
-6 + COUNTIF(INDEX(BillsT[Item Name],1):BillsT[[#This Row],[Item Name]],"&lt;&gt;") - 1)</f>
        <v>-3</v>
      </c>
      <c r="B5" s="1">
        <v>0</v>
      </c>
      <c r="C5" s="1" t="s">
        <v>20</v>
      </c>
      <c r="D5" s="1" t="s">
        <v>17</v>
      </c>
      <c r="J5" s="8"/>
      <c r="K5" s="8">
        <f t="shared" si="0"/>
        <v>0</v>
      </c>
      <c r="L5" s="17"/>
      <c r="M5" s="17"/>
      <c r="O5" s="8">
        <f ca="1">IF(BillsT[[#This Row],[Bill Item ID]]="","",(BillsT[[#This Row],[Total Cost]] - SUMIFS(OrderT[Total Cost], OrderT[Bill Item ID], BillsT[[#This Row],[Bill Item ID]])))</f>
        <v>0</v>
      </c>
    </row>
    <row r="6" spans="1:16" s="1" customFormat="1">
      <c r="A6" s="1">
        <f ca="1">IF(BillsT[[#This Row],[Item Name]]="","",
-6 + COUNTIF(INDEX(BillsT[Item Name],1):BillsT[[#This Row],[Item Name]],"&lt;&gt;") - 1)</f>
        <v>-2</v>
      </c>
      <c r="B6" s="1">
        <v>0</v>
      </c>
      <c r="C6" s="1" t="s">
        <v>21</v>
      </c>
      <c r="D6" s="1" t="s">
        <v>17</v>
      </c>
      <c r="J6" s="8"/>
      <c r="K6" s="8">
        <f t="shared" si="0"/>
        <v>0</v>
      </c>
      <c r="L6" s="17"/>
      <c r="M6" s="17"/>
      <c r="O6" s="8">
        <f ca="1">IF(BillsT[[#This Row],[Bill Item ID]]="","",(BillsT[[#This Row],[Total Cost]] - SUMIFS(OrderT[Total Cost], OrderT[Bill Item ID], BillsT[[#This Row],[Bill Item ID]])))</f>
        <v>0</v>
      </c>
    </row>
    <row r="7" spans="1:16" s="1" customFormat="1">
      <c r="A7" s="1">
        <f ca="1">IF(BillsT[[#This Row],[Item Name]]="","",
-6 + COUNTIF(INDEX(BillsT[Item Name],1):BillsT[[#This Row],[Item Name]],"&lt;&gt;") - 1)</f>
        <v>-1</v>
      </c>
      <c r="B7" s="1">
        <v>0</v>
      </c>
      <c r="C7" s="1" t="s">
        <v>22</v>
      </c>
      <c r="D7" s="1" t="s">
        <v>23</v>
      </c>
      <c r="J7" s="8"/>
      <c r="K7" s="8">
        <f t="shared" si="0"/>
        <v>0</v>
      </c>
      <c r="L7" s="17"/>
      <c r="M7" s="17"/>
      <c r="O7" s="8">
        <f ca="1">IF(BillsT[[#This Row],[Bill Item ID]]="","",(BillsT[[#This Row],[Total Cost]] - SUMIFS(OrderT[Total Cost], OrderT[Bill Item ID], BillsT[[#This Row],[Bill Item ID]])))</f>
        <v>0</v>
      </c>
    </row>
    <row r="8" spans="1:16" s="1" customFormat="1">
      <c r="A8" s="1">
        <f ca="1">IF(BillsT[[#This Row],[Item Name]]="","",
-6 + COUNTIF(INDEX(BillsT[Item Name],1):BillsT[[#This Row],[Item Name]],"&lt;&gt;") - 1)</f>
        <v>0</v>
      </c>
      <c r="B8" s="1">
        <v>0</v>
      </c>
      <c r="C8" s="1" t="s">
        <v>24</v>
      </c>
      <c r="D8" s="1" t="s">
        <v>24</v>
      </c>
      <c r="J8" s="8"/>
      <c r="K8" s="8">
        <f t="shared" si="0"/>
        <v>0</v>
      </c>
      <c r="L8" s="17"/>
      <c r="M8" s="17"/>
      <c r="O8" s="8">
        <f ca="1">IF(BillsT[[#This Row],[Bill Item ID]]="","",(BillsT[[#This Row],[Total Cost]] - SUMIFS(OrderT[Total Cost], OrderT[Bill Item ID], BillsT[[#This Row],[Bill Item ID]])))</f>
        <v>0</v>
      </c>
    </row>
    <row r="9" spans="1:16" s="15" customFormat="1">
      <c r="A9" s="15" t="str">
        <f>IF(BillsT[[#This Row],[Item Name]]="","",
-6 + COUNTIF(INDEX(BillsT[Item Name],1):BillsT[[#This Row],[Item Name]],"&lt;&gt;") - 1)</f>
        <v/>
      </c>
      <c r="B9" s="39"/>
      <c r="C9" s="39"/>
      <c r="D9" s="39"/>
      <c r="E9" s="39"/>
      <c r="F9" s="39"/>
      <c r="G9" s="39"/>
      <c r="H9" s="39"/>
      <c r="I9" s="39"/>
      <c r="J9" s="40"/>
      <c r="K9" s="40">
        <f t="shared" si="0"/>
        <v>0</v>
      </c>
      <c r="L9" s="36"/>
      <c r="M9" s="36"/>
      <c r="N9" s="39"/>
      <c r="O9" s="40" t="str">
        <f>IF(BillsT[[#This Row],[Bill Item ID]]="","",(BillsT[[#This Row],[Total Cost]] - SUMIFS(OrderT[Total Cost], OrderT[Bill Item ID], BillsT[[#This Row],[Bill Item ID]])))</f>
        <v/>
      </c>
    </row>
    <row r="10" spans="1:16" s="11" customFormat="1">
      <c r="A10" s="11" t="str">
        <f>IF(BillsT[[#This Row],[Item Name]]="","",
-6 + COUNTIF(INDEX(BillsT[Item Name],1):BillsT[[#This Row],[Item Name]],"&lt;&gt;") - 1)</f>
        <v/>
      </c>
      <c r="C10" s="11" t="s">
        <v>25</v>
      </c>
      <c r="J10" s="19"/>
      <c r="K10" s="38">
        <f t="shared" si="0"/>
        <v>0</v>
      </c>
      <c r="L10" s="16"/>
      <c r="M10" s="16"/>
      <c r="O10" s="19"/>
    </row>
    <row r="11" spans="1:16">
      <c r="A11">
        <f ca="1">IF(BillsT[[#This Row],[Item Name]]="","",
-6 + COUNTIF(INDEX(BillsT[Item Name],1):BillsT[[#This Row],[Item Name]],"&lt;&gt;") - 1)</f>
        <v>1</v>
      </c>
      <c r="B11">
        <v>375098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>
        <v>2</v>
      </c>
      <c r="J11" s="9">
        <v>204.36</v>
      </c>
      <c r="K11" s="8">
        <f t="shared" si="0"/>
        <v>408.72</v>
      </c>
      <c r="L11" s="17" t="s">
        <v>32</v>
      </c>
      <c r="M11" s="17"/>
      <c r="O11" s="9"/>
    </row>
    <row r="12" spans="1:16">
      <c r="A12">
        <f ca="1">IF(BillsT[[#This Row],[Item Name]]="","",
-6 + COUNTIF(INDEX(BillsT[Item Name],1):BillsT[[#This Row],[Item Name]],"&lt;&gt;") - 1)</f>
        <v>2</v>
      </c>
      <c r="B12">
        <v>375098</v>
      </c>
      <c r="C12" t="s">
        <v>26</v>
      </c>
      <c r="D12" t="s">
        <v>33</v>
      </c>
      <c r="E12" t="s">
        <v>28</v>
      </c>
      <c r="F12" t="s">
        <v>29</v>
      </c>
      <c r="G12" t="s">
        <v>30</v>
      </c>
      <c r="H12" t="s">
        <v>34</v>
      </c>
      <c r="I12">
        <v>1</v>
      </c>
      <c r="J12" s="9">
        <v>72.959999999999994</v>
      </c>
      <c r="K12" s="8">
        <f t="shared" si="0"/>
        <v>72.959999999999994</v>
      </c>
      <c r="L12" s="17" t="s">
        <v>35</v>
      </c>
      <c r="M12" s="17"/>
      <c r="O12" s="9"/>
    </row>
    <row r="13" spans="1:16">
      <c r="A13">
        <f ca="1">IF(BillsT[[#This Row],[Item Name]]="","",
-6 + COUNTIF(INDEX(BillsT[Item Name],1):BillsT[[#This Row],[Item Name]],"&lt;&gt;") - 1)</f>
        <v>3</v>
      </c>
      <c r="B13">
        <v>375098</v>
      </c>
      <c r="C13" t="s">
        <v>26</v>
      </c>
      <c r="D13" t="s">
        <v>36</v>
      </c>
      <c r="E13" t="s">
        <v>28</v>
      </c>
      <c r="F13" t="s">
        <v>29</v>
      </c>
      <c r="G13" t="s">
        <v>37</v>
      </c>
      <c r="H13" t="s">
        <v>38</v>
      </c>
      <c r="I13">
        <v>2</v>
      </c>
      <c r="J13" s="9">
        <v>32.1</v>
      </c>
      <c r="K13" s="8">
        <f t="shared" si="0"/>
        <v>64.2</v>
      </c>
      <c r="L13" s="17" t="s">
        <v>39</v>
      </c>
      <c r="M13" s="17"/>
      <c r="O13" s="9"/>
    </row>
    <row r="14" spans="1:16">
      <c r="A14">
        <f ca="1">IF(BillsT[[#This Row],[Item Name]]="","",
-6 + COUNTIF(INDEX(BillsT[Item Name],1):BillsT[[#This Row],[Item Name]],"&lt;&gt;") - 1)</f>
        <v>4</v>
      </c>
      <c r="B14">
        <v>375098</v>
      </c>
      <c r="C14" t="s">
        <v>26</v>
      </c>
      <c r="D14" t="s">
        <v>40</v>
      </c>
      <c r="E14" t="s">
        <v>28</v>
      </c>
      <c r="F14" t="s">
        <v>29</v>
      </c>
      <c r="G14" t="s">
        <v>41</v>
      </c>
      <c r="H14" t="s">
        <v>42</v>
      </c>
      <c r="I14">
        <v>6</v>
      </c>
      <c r="J14" s="9">
        <v>6.44</v>
      </c>
      <c r="K14" s="8">
        <f t="shared" si="0"/>
        <v>38.64</v>
      </c>
      <c r="L14" s="17" t="s">
        <v>43</v>
      </c>
      <c r="M14" s="17"/>
      <c r="O14" s="9"/>
    </row>
    <row r="15" spans="1:16">
      <c r="A15">
        <f ca="1">IF(BillsT[[#This Row],[Item Name]]="","",
-6 + COUNTIF(INDEX(BillsT[Item Name],1):BillsT[[#This Row],[Item Name]],"&lt;&gt;") - 1)</f>
        <v>5</v>
      </c>
      <c r="B15">
        <v>375098</v>
      </c>
      <c r="C15" t="s">
        <v>26</v>
      </c>
      <c r="D15" t="s">
        <v>44</v>
      </c>
      <c r="E15" t="s">
        <v>28</v>
      </c>
      <c r="F15" t="s">
        <v>29</v>
      </c>
      <c r="G15" t="s">
        <v>41</v>
      </c>
      <c r="H15" t="s">
        <v>45</v>
      </c>
      <c r="I15">
        <v>6</v>
      </c>
      <c r="J15" s="9">
        <v>6.55</v>
      </c>
      <c r="K15" s="8">
        <f t="shared" si="0"/>
        <v>39.299999999999997</v>
      </c>
      <c r="L15" s="17" t="s">
        <v>46</v>
      </c>
      <c r="M15" s="17"/>
      <c r="O15" s="9"/>
    </row>
    <row r="16" spans="1:16">
      <c r="A16">
        <f ca="1">IF(BillsT[[#This Row],[Item Name]]="","",
-6 + COUNTIF(INDEX(BillsT[Item Name],1):BillsT[[#This Row],[Item Name]],"&lt;&gt;") - 1)</f>
        <v>6</v>
      </c>
      <c r="B16">
        <v>375098</v>
      </c>
      <c r="C16" t="s">
        <v>26</v>
      </c>
      <c r="D16" t="s">
        <v>47</v>
      </c>
      <c r="E16" t="s">
        <v>28</v>
      </c>
      <c r="F16" t="s">
        <v>29</v>
      </c>
      <c r="G16" t="s">
        <v>37</v>
      </c>
      <c r="H16" t="s">
        <v>48</v>
      </c>
      <c r="I16">
        <v>1</v>
      </c>
      <c r="J16" s="9">
        <v>18.989999999999998</v>
      </c>
      <c r="K16" s="8">
        <f t="shared" si="0"/>
        <v>18.989999999999998</v>
      </c>
      <c r="L16" s="17" t="s">
        <v>49</v>
      </c>
      <c r="O16" s="9"/>
    </row>
    <row r="17" spans="1:17">
      <c r="A17">
        <f ca="1">IF(BillsT[[#This Row],[Item Name]]="","",
-6 + COUNTIF(INDEX(BillsT[Item Name],1):BillsT[[#This Row],[Item Name]],"&lt;&gt;") - 1)</f>
        <v>7</v>
      </c>
      <c r="B17">
        <v>375098</v>
      </c>
      <c r="C17" t="s">
        <v>26</v>
      </c>
      <c r="D17" t="s">
        <v>50</v>
      </c>
      <c r="E17" t="s">
        <v>28</v>
      </c>
      <c r="F17" t="s">
        <v>29</v>
      </c>
      <c r="G17" t="s">
        <v>37</v>
      </c>
      <c r="H17" t="s">
        <v>51</v>
      </c>
      <c r="I17">
        <v>1</v>
      </c>
      <c r="J17" s="9">
        <v>10.99</v>
      </c>
      <c r="K17" s="8">
        <f t="shared" si="0"/>
        <v>10.99</v>
      </c>
      <c r="L17" s="17" t="s">
        <v>52</v>
      </c>
      <c r="M17" s="17"/>
      <c r="O17" s="9"/>
    </row>
    <row r="18" spans="1:17">
      <c r="A18">
        <f ca="1">IF(BillsT[[#This Row],[Item Name]]="","",
-6 + COUNTIF(INDEX(BillsT[Item Name],1):BillsT[[#This Row],[Item Name]],"&lt;&gt;") - 1)</f>
        <v>8</v>
      </c>
      <c r="B18">
        <v>375098</v>
      </c>
      <c r="C18" t="s">
        <v>26</v>
      </c>
      <c r="D18" t="s">
        <v>53</v>
      </c>
      <c r="E18" t="s">
        <v>28</v>
      </c>
      <c r="F18" t="s">
        <v>29</v>
      </c>
      <c r="G18" t="s">
        <v>37</v>
      </c>
      <c r="H18" t="s">
        <v>54</v>
      </c>
      <c r="I18">
        <v>1</v>
      </c>
      <c r="J18" s="9">
        <v>26.9</v>
      </c>
      <c r="K18" s="8">
        <f t="shared" si="0"/>
        <v>26.9</v>
      </c>
      <c r="L18" s="17" t="s">
        <v>55</v>
      </c>
      <c r="M18" s="17"/>
      <c r="O18" s="9"/>
    </row>
    <row r="19" spans="1:17">
      <c r="A19">
        <f ca="1">IF(BillsT[[#This Row],[Item Name]]="","",
-6 + COUNTIF(INDEX(BillsT[Item Name],1):BillsT[[#This Row],[Item Name]],"&lt;&gt;") - 1)</f>
        <v>9</v>
      </c>
      <c r="B19">
        <v>375098</v>
      </c>
      <c r="C19" t="s">
        <v>26</v>
      </c>
      <c r="D19" t="s">
        <v>56</v>
      </c>
      <c r="E19" t="s">
        <v>28</v>
      </c>
      <c r="F19" t="s">
        <v>29</v>
      </c>
      <c r="G19" t="s">
        <v>37</v>
      </c>
      <c r="H19" t="s">
        <v>57</v>
      </c>
      <c r="I19">
        <v>1</v>
      </c>
      <c r="J19" s="9">
        <v>25.99</v>
      </c>
      <c r="K19" s="8">
        <f t="shared" si="0"/>
        <v>25.99</v>
      </c>
      <c r="L19" s="17" t="s">
        <v>58</v>
      </c>
      <c r="M19" s="17"/>
      <c r="O19" s="9"/>
    </row>
    <row r="20" spans="1:17">
      <c r="A20">
        <f ca="1">IF(BillsT[[#This Row],[Item Name]]="","",
-6 + COUNTIF(INDEX(BillsT[Item Name],1):BillsT[[#This Row],[Item Name]],"&lt;&gt;") - 1)</f>
        <v>10</v>
      </c>
      <c r="B20">
        <v>375098</v>
      </c>
      <c r="C20" t="s">
        <v>26</v>
      </c>
      <c r="D20" t="s">
        <v>59</v>
      </c>
      <c r="E20" t="s">
        <v>28</v>
      </c>
      <c r="F20" t="s">
        <v>29</v>
      </c>
      <c r="G20" t="s">
        <v>41</v>
      </c>
      <c r="H20" t="s">
        <v>60</v>
      </c>
      <c r="I20">
        <v>2</v>
      </c>
      <c r="J20" s="9">
        <v>12.3</v>
      </c>
      <c r="K20" s="8">
        <f t="shared" si="0"/>
        <v>24.6</v>
      </c>
      <c r="L20" s="17" t="s">
        <v>61</v>
      </c>
      <c r="M20" s="17"/>
      <c r="O20" s="9"/>
    </row>
    <row r="21" spans="1:17">
      <c r="A21">
        <f ca="1">IF(BillsT[[#This Row],[Item Name]]="","",
-6 + COUNTIF(INDEX(BillsT[Item Name],1):BillsT[[#This Row],[Item Name]],"&lt;&gt;") - 1)</f>
        <v>11</v>
      </c>
      <c r="B21">
        <v>375098</v>
      </c>
      <c r="C21" t="s">
        <v>26</v>
      </c>
      <c r="D21" t="s">
        <v>62</v>
      </c>
      <c r="E21" t="s">
        <v>28</v>
      </c>
      <c r="F21" t="s">
        <v>29</v>
      </c>
      <c r="G21" t="s">
        <v>41</v>
      </c>
      <c r="H21" t="s">
        <v>63</v>
      </c>
      <c r="I21">
        <v>4</v>
      </c>
      <c r="J21" s="9">
        <v>14.57</v>
      </c>
      <c r="K21" s="8">
        <f t="shared" si="0"/>
        <v>58.28</v>
      </c>
      <c r="L21" s="17" t="s">
        <v>64</v>
      </c>
      <c r="M21" s="17"/>
      <c r="O21" s="9"/>
    </row>
    <row r="22" spans="1:17">
      <c r="A22">
        <f ca="1">IF(BillsT[[#This Row],[Item Name]]="","",
-6 + COUNTIF(INDEX(BillsT[Item Name],1):BillsT[[#This Row],[Item Name]],"&lt;&gt;") - 1)</f>
        <v>12</v>
      </c>
      <c r="B22">
        <v>375098</v>
      </c>
      <c r="C22" t="s">
        <v>26</v>
      </c>
      <c r="D22" t="s">
        <v>65</v>
      </c>
      <c r="E22" t="s">
        <v>28</v>
      </c>
      <c r="F22" t="s">
        <v>29</v>
      </c>
      <c r="G22" t="s">
        <v>37</v>
      </c>
      <c r="H22" t="s">
        <v>66</v>
      </c>
      <c r="I22">
        <v>2</v>
      </c>
      <c r="J22" s="9">
        <v>25.99</v>
      </c>
      <c r="K22" s="8">
        <f t="shared" si="0"/>
        <v>51.98</v>
      </c>
      <c r="L22" s="17" t="s">
        <v>67</v>
      </c>
      <c r="M22" s="17"/>
      <c r="O22" s="9"/>
    </row>
    <row r="23" spans="1:17" s="11" customFormat="1">
      <c r="A23" s="11" t="str">
        <f>IF(BillsT[[#This Row],[Item Name]]="","",
-6 + COUNTIF(INDEX(BillsT[Item Name],1):BillsT[[#This Row],[Item Name]],"&lt;&gt;") - 1)</f>
        <v/>
      </c>
      <c r="C23" s="11" t="s">
        <v>68</v>
      </c>
      <c r="J23" s="19"/>
      <c r="K23" s="38">
        <f t="shared" si="0"/>
        <v>0</v>
      </c>
      <c r="L23" s="16"/>
      <c r="M23" s="16"/>
      <c r="O23" s="19"/>
    </row>
    <row r="24" spans="1:17">
      <c r="A24">
        <f ca="1">IF(BillsT[[#This Row],[Item Name]]="","",
-6 + COUNTIF(INDEX(BillsT[Item Name],1):BillsT[[#This Row],[Item Name]],"&lt;&gt;") - 1)</f>
        <v>13</v>
      </c>
      <c r="B24">
        <v>376851</v>
      </c>
      <c r="C24" t="s">
        <v>69</v>
      </c>
      <c r="D24" t="s">
        <v>70</v>
      </c>
      <c r="E24" t="s">
        <v>71</v>
      </c>
      <c r="F24" t="s">
        <v>29</v>
      </c>
      <c r="G24" t="s">
        <v>37</v>
      </c>
      <c r="H24" t="s">
        <v>72</v>
      </c>
      <c r="I24">
        <v>6</v>
      </c>
      <c r="J24" s="9">
        <v>10.99</v>
      </c>
      <c r="K24" s="8">
        <f t="shared" si="0"/>
        <v>65.94</v>
      </c>
      <c r="L24" s="17" t="s">
        <v>73</v>
      </c>
      <c r="M24" s="17"/>
      <c r="O24" s="9"/>
    </row>
    <row r="25" spans="1:17" s="10" customFormat="1">
      <c r="A25">
        <f ca="1">IF(BillsT[[#This Row],[Item Name]]="","",
-6 + COUNTIF(INDEX(BillsT[Item Name],1):BillsT[[#This Row],[Item Name]],"&lt;&gt;") - 1)</f>
        <v>14</v>
      </c>
      <c r="B25">
        <v>376851</v>
      </c>
      <c r="C25" t="s">
        <v>69</v>
      </c>
      <c r="D25" t="s">
        <v>74</v>
      </c>
      <c r="E25" t="s">
        <v>71</v>
      </c>
      <c r="F25" t="s">
        <v>29</v>
      </c>
      <c r="G25" t="s">
        <v>37</v>
      </c>
      <c r="H25" t="s">
        <v>72</v>
      </c>
      <c r="I25">
        <v>6</v>
      </c>
      <c r="J25" s="9">
        <v>9.99</v>
      </c>
      <c r="K25" s="8">
        <f t="shared" si="0"/>
        <v>59.94</v>
      </c>
      <c r="L25" s="17" t="s">
        <v>75</v>
      </c>
      <c r="M25" s="17"/>
      <c r="O25" s="9"/>
      <c r="P25" s="15"/>
      <c r="Q25" s="34"/>
    </row>
    <row r="26" spans="1:17">
      <c r="A26">
        <f ca="1">IF(BillsT[[#This Row],[Item Name]]="","",
-6 + COUNTIF(INDEX(BillsT[Item Name],1):BillsT[[#This Row],[Item Name]],"&lt;&gt;") - 1)</f>
        <v>15</v>
      </c>
      <c r="B26">
        <v>376851</v>
      </c>
      <c r="C26" t="s">
        <v>69</v>
      </c>
      <c r="D26" t="s">
        <v>76</v>
      </c>
      <c r="E26" t="s">
        <v>71</v>
      </c>
      <c r="F26" t="s">
        <v>29</v>
      </c>
      <c r="G26" t="s">
        <v>37</v>
      </c>
      <c r="H26" s="15" t="s">
        <v>77</v>
      </c>
      <c r="I26" s="15">
        <v>6</v>
      </c>
      <c r="J26" s="18">
        <v>12.59</v>
      </c>
      <c r="K26" s="8">
        <f t="shared" si="0"/>
        <v>75.539999999999992</v>
      </c>
      <c r="L26" s="17" t="s">
        <v>78</v>
      </c>
      <c r="M26" s="17"/>
      <c r="N26" s="15"/>
      <c r="O26" s="18"/>
    </row>
    <row r="27" spans="1:17">
      <c r="A27">
        <f ca="1">IF(BillsT[[#This Row],[Item Name]]="","",
-6 + COUNTIF(INDEX(BillsT[Item Name],1):BillsT[[#This Row],[Item Name]],"&lt;&gt;") - 1)</f>
        <v>16</v>
      </c>
      <c r="B27">
        <v>376851</v>
      </c>
      <c r="C27" t="s">
        <v>69</v>
      </c>
      <c r="D27" t="s">
        <v>79</v>
      </c>
      <c r="E27" t="s">
        <v>71</v>
      </c>
      <c r="F27" t="s">
        <v>29</v>
      </c>
      <c r="G27" t="s">
        <v>37</v>
      </c>
      <c r="H27" t="s">
        <v>80</v>
      </c>
      <c r="I27">
        <v>2</v>
      </c>
      <c r="J27" s="9">
        <v>16.79</v>
      </c>
      <c r="K27" s="8">
        <f t="shared" si="0"/>
        <v>33.58</v>
      </c>
      <c r="L27" s="17" t="s">
        <v>81</v>
      </c>
      <c r="M27" s="17"/>
      <c r="O27" s="9"/>
    </row>
    <row r="28" spans="1:17">
      <c r="A28">
        <f ca="1">IF(BillsT[[#This Row],[Item Name]]="","",
-6 + COUNTIF(INDEX(BillsT[Item Name],1):BillsT[[#This Row],[Item Name]],"&lt;&gt;") - 1)</f>
        <v>17</v>
      </c>
      <c r="B28">
        <v>376851</v>
      </c>
      <c r="C28" t="s">
        <v>69</v>
      </c>
      <c r="D28" t="s">
        <v>82</v>
      </c>
      <c r="E28" t="s">
        <v>71</v>
      </c>
      <c r="F28" t="s">
        <v>29</v>
      </c>
      <c r="G28" t="s">
        <v>83</v>
      </c>
      <c r="H28" t="s">
        <v>84</v>
      </c>
      <c r="I28">
        <v>8</v>
      </c>
      <c r="J28" s="9">
        <v>69.989999999999995</v>
      </c>
      <c r="K28" s="8">
        <f t="shared" si="0"/>
        <v>559.91999999999996</v>
      </c>
      <c r="L28" s="17" t="s">
        <v>85</v>
      </c>
      <c r="M28" s="17"/>
      <c r="O28" s="9"/>
    </row>
    <row r="29" spans="1:17">
      <c r="A29">
        <f ca="1">IF(BillsT[[#This Row],[Item Name]]="","",
-6 + COUNTIF(INDEX(BillsT[Item Name],1):BillsT[[#This Row],[Item Name]],"&lt;&gt;") - 1)</f>
        <v>18</v>
      </c>
      <c r="B29">
        <v>376851</v>
      </c>
      <c r="C29" t="s">
        <v>69</v>
      </c>
      <c r="D29" s="48" t="s">
        <v>86</v>
      </c>
      <c r="E29" t="s">
        <v>71</v>
      </c>
      <c r="F29" t="s">
        <v>29</v>
      </c>
      <c r="G29" t="s">
        <v>87</v>
      </c>
      <c r="H29" t="s">
        <v>88</v>
      </c>
      <c r="I29">
        <v>3</v>
      </c>
      <c r="J29" s="9">
        <v>5.76</v>
      </c>
      <c r="K29" s="8">
        <f t="shared" si="0"/>
        <v>17.28</v>
      </c>
      <c r="L29" s="17" t="s">
        <v>89</v>
      </c>
      <c r="M29" s="17"/>
      <c r="O29" s="9"/>
    </row>
    <row r="30" spans="1:17">
      <c r="A30">
        <f ca="1">IF(BillsT[[#This Row],[Item Name]]="","",
-6 + COUNTIF(INDEX(BillsT[Item Name],1):BillsT[[#This Row],[Item Name]],"&lt;&gt;") - 1)</f>
        <v>19</v>
      </c>
      <c r="B30">
        <v>376851</v>
      </c>
      <c r="C30" t="s">
        <v>69</v>
      </c>
      <c r="D30" t="s">
        <v>90</v>
      </c>
      <c r="E30" t="s">
        <v>71</v>
      </c>
      <c r="F30" t="s">
        <v>29</v>
      </c>
      <c r="G30" t="s">
        <v>87</v>
      </c>
      <c r="H30" t="s">
        <v>91</v>
      </c>
      <c r="I30">
        <v>24</v>
      </c>
      <c r="J30" s="9">
        <v>0.95</v>
      </c>
      <c r="K30" s="8">
        <f t="shared" si="0"/>
        <v>22.799999999999997</v>
      </c>
      <c r="L30" s="17" t="s">
        <v>92</v>
      </c>
      <c r="M30" s="17"/>
      <c r="O30" s="9"/>
    </row>
    <row r="31" spans="1:17">
      <c r="A31">
        <f ca="1">IF(BillsT[[#This Row],[Item Name]]="","",
-6 + COUNTIF(INDEX(BillsT[Item Name],1):BillsT[[#This Row],[Item Name]],"&lt;&gt;") - 1)</f>
        <v>20</v>
      </c>
      <c r="B31">
        <v>376851</v>
      </c>
      <c r="C31" t="s">
        <v>69</v>
      </c>
      <c r="D31" t="s">
        <v>93</v>
      </c>
      <c r="E31" t="s">
        <v>71</v>
      </c>
      <c r="F31" t="s">
        <v>29</v>
      </c>
      <c r="G31" t="s">
        <v>87</v>
      </c>
      <c r="H31" t="s">
        <v>94</v>
      </c>
      <c r="I31">
        <v>16</v>
      </c>
      <c r="J31" s="9">
        <v>0.87</v>
      </c>
      <c r="K31" s="8">
        <f t="shared" si="0"/>
        <v>13.92</v>
      </c>
      <c r="L31" s="17" t="s">
        <v>95</v>
      </c>
      <c r="M31" s="17"/>
      <c r="O31" s="9"/>
    </row>
    <row r="32" spans="1:17">
      <c r="A32">
        <f ca="1">IF(BillsT[[#This Row],[Item Name]]="","",
-6 + COUNTIF(INDEX(BillsT[Item Name],1):BillsT[[#This Row],[Item Name]],"&lt;&gt;") - 1)</f>
        <v>21</v>
      </c>
      <c r="B32">
        <v>376851</v>
      </c>
      <c r="C32" t="s">
        <v>69</v>
      </c>
      <c r="D32" t="s">
        <v>96</v>
      </c>
      <c r="E32" t="s">
        <v>71</v>
      </c>
      <c r="F32" t="s">
        <v>29</v>
      </c>
      <c r="G32" t="s">
        <v>87</v>
      </c>
      <c r="H32" t="s">
        <v>94</v>
      </c>
      <c r="I32">
        <v>4</v>
      </c>
      <c r="J32" s="9">
        <v>1.63</v>
      </c>
      <c r="K32" s="8">
        <f t="shared" si="0"/>
        <v>6.52</v>
      </c>
      <c r="L32" s="17" t="s">
        <v>97</v>
      </c>
      <c r="M32" s="17"/>
      <c r="O32" s="9"/>
    </row>
    <row r="33" spans="1:15">
      <c r="A33">
        <f ca="1">IF(BillsT[[#This Row],[Item Name]]="","",
-6 + COUNTIF(INDEX(BillsT[Item Name],1):BillsT[[#This Row],[Item Name]],"&lt;&gt;") - 1)</f>
        <v>22</v>
      </c>
      <c r="B33">
        <v>376851</v>
      </c>
      <c r="C33" t="s">
        <v>69</v>
      </c>
      <c r="D33" t="s">
        <v>98</v>
      </c>
      <c r="E33" t="s">
        <v>71</v>
      </c>
      <c r="F33" t="s">
        <v>29</v>
      </c>
      <c r="G33" t="s">
        <v>87</v>
      </c>
      <c r="H33" t="s">
        <v>94</v>
      </c>
      <c r="I33">
        <v>2</v>
      </c>
      <c r="J33" s="9">
        <v>5.73</v>
      </c>
      <c r="K33" s="8">
        <f t="shared" si="0"/>
        <v>11.46</v>
      </c>
      <c r="L33" s="17" t="s">
        <v>99</v>
      </c>
      <c r="M33" s="17"/>
      <c r="O33" s="9"/>
    </row>
    <row r="34" spans="1:15">
      <c r="A34">
        <f ca="1">IF(BillsT[[#This Row],[Item Name]]="","",
-6 + COUNTIF(INDEX(BillsT[Item Name],1):BillsT[[#This Row],[Item Name]],"&lt;&gt;") - 1)</f>
        <v>23</v>
      </c>
      <c r="B34">
        <v>376851</v>
      </c>
      <c r="C34" t="s">
        <v>69</v>
      </c>
      <c r="D34" t="s">
        <v>100</v>
      </c>
      <c r="E34" t="s">
        <v>71</v>
      </c>
      <c r="F34" t="s">
        <v>29</v>
      </c>
      <c r="G34" t="s">
        <v>87</v>
      </c>
      <c r="H34" t="s">
        <v>94</v>
      </c>
      <c r="I34">
        <v>2</v>
      </c>
      <c r="J34" s="9">
        <v>11.98</v>
      </c>
      <c r="K34" s="8">
        <f t="shared" si="0"/>
        <v>23.96</v>
      </c>
      <c r="L34" s="17" t="s">
        <v>101</v>
      </c>
      <c r="M34" s="17"/>
      <c r="O34" s="9"/>
    </row>
    <row r="35" spans="1:15">
      <c r="A35">
        <f ca="1">IF(BillsT[[#This Row],[Item Name]]="","",
-6 + COUNTIF(INDEX(BillsT[Item Name],1):BillsT[[#This Row],[Item Name]],"&lt;&gt;") - 1)</f>
        <v>24</v>
      </c>
      <c r="B35">
        <v>376851</v>
      </c>
      <c r="C35" t="s">
        <v>69</v>
      </c>
      <c r="D35" t="s">
        <v>102</v>
      </c>
      <c r="E35" t="s">
        <v>71</v>
      </c>
      <c r="F35" t="s">
        <v>29</v>
      </c>
      <c r="G35" t="s">
        <v>103</v>
      </c>
      <c r="H35" t="s">
        <v>94</v>
      </c>
      <c r="I35">
        <v>10</v>
      </c>
      <c r="J35" s="9">
        <v>3.47</v>
      </c>
      <c r="K35" s="8">
        <f t="shared" si="0"/>
        <v>34.700000000000003</v>
      </c>
      <c r="L35" s="17" t="s">
        <v>104</v>
      </c>
      <c r="M35" s="17"/>
      <c r="O35" s="9"/>
    </row>
    <row r="36" spans="1:15" s="11" customFormat="1">
      <c r="A36" s="11" t="str">
        <f>IF(BillsT[[#This Row],[Item Name]]="","",
-6 + COUNTIF(INDEX(BillsT[Item Name],1):BillsT[[#This Row],[Item Name]],"&lt;&gt;") - 1)</f>
        <v/>
      </c>
      <c r="C36" s="11" t="s">
        <v>105</v>
      </c>
      <c r="J36" s="19"/>
      <c r="K36" s="38">
        <f t="shared" si="0"/>
        <v>0</v>
      </c>
      <c r="L36" s="16"/>
      <c r="M36" s="16"/>
      <c r="O36" s="19"/>
    </row>
    <row r="37" spans="1:15">
      <c r="A37">
        <f ca="1">IF(BillsT[[#This Row],[Item Name]]="","",
-6 + COUNTIF(INDEX(BillsT[Item Name],1):BillsT[[#This Row],[Item Name]],"&lt;&gt;") - 1)</f>
        <v>25</v>
      </c>
      <c r="B37">
        <v>376945</v>
      </c>
      <c r="C37" t="s">
        <v>106</v>
      </c>
      <c r="D37" t="s">
        <v>107</v>
      </c>
      <c r="E37" t="s">
        <v>108</v>
      </c>
      <c r="F37" t="s">
        <v>29</v>
      </c>
      <c r="G37" t="s">
        <v>37</v>
      </c>
      <c r="H37" t="s">
        <v>109</v>
      </c>
      <c r="I37">
        <v>2</v>
      </c>
      <c r="J37" s="9">
        <v>11.99</v>
      </c>
      <c r="K37" s="8">
        <f t="shared" si="0"/>
        <v>23.98</v>
      </c>
      <c r="L37" s="17" t="s">
        <v>110</v>
      </c>
      <c r="M37" s="17"/>
      <c r="O37" s="9"/>
    </row>
    <row r="38" spans="1:15">
      <c r="A38">
        <f ca="1">IF(BillsT[[#This Row],[Item Name]]="","",
-6 + COUNTIF(INDEX(BillsT[Item Name],1):BillsT[[#This Row],[Item Name]],"&lt;&gt;") - 1)</f>
        <v>26</v>
      </c>
      <c r="B38">
        <v>376945</v>
      </c>
      <c r="C38" t="s">
        <v>106</v>
      </c>
      <c r="D38" t="s">
        <v>111</v>
      </c>
      <c r="E38" t="s">
        <v>108</v>
      </c>
      <c r="F38" t="s">
        <v>29</v>
      </c>
      <c r="G38" t="s">
        <v>37</v>
      </c>
      <c r="H38" t="s">
        <v>112</v>
      </c>
      <c r="I38">
        <v>1</v>
      </c>
      <c r="J38" s="9">
        <v>49.99</v>
      </c>
      <c r="K38" s="8">
        <f t="shared" si="0"/>
        <v>49.99</v>
      </c>
      <c r="L38" s="17" t="s">
        <v>113</v>
      </c>
      <c r="M38" s="17"/>
      <c r="O38" s="9"/>
    </row>
    <row r="39" spans="1:15" ht="15.95" customHeight="1">
      <c r="A39">
        <f ca="1">IF(BillsT[[#This Row],[Item Name]]="","",
-6 + COUNTIF(INDEX(BillsT[Item Name],1):BillsT[[#This Row],[Item Name]],"&lt;&gt;") - 1)</f>
        <v>27</v>
      </c>
      <c r="B39">
        <v>376945</v>
      </c>
      <c r="C39" t="s">
        <v>106</v>
      </c>
      <c r="D39" s="14" t="s">
        <v>114</v>
      </c>
      <c r="E39" t="s">
        <v>108</v>
      </c>
      <c r="F39" t="s">
        <v>29</v>
      </c>
      <c r="G39" t="s">
        <v>37</v>
      </c>
      <c r="H39" t="s">
        <v>115</v>
      </c>
      <c r="I39">
        <v>4</v>
      </c>
      <c r="J39" s="9">
        <v>14.99</v>
      </c>
      <c r="K39" s="8">
        <f t="shared" si="0"/>
        <v>59.96</v>
      </c>
      <c r="L39" s="17" t="s">
        <v>116</v>
      </c>
      <c r="M39" s="17"/>
      <c r="O39" s="9"/>
    </row>
    <row r="40" spans="1:15" ht="15.95" customHeight="1">
      <c r="A40">
        <f ca="1">IF(BillsT[[#This Row],[Item Name]]="","",
-6 + COUNTIF(INDEX(BillsT[Item Name],1):BillsT[[#This Row],[Item Name]],"&lt;&gt;") - 1)</f>
        <v>28</v>
      </c>
      <c r="B40">
        <v>376945</v>
      </c>
      <c r="C40" t="s">
        <v>106</v>
      </c>
      <c r="D40" s="14" t="s">
        <v>117</v>
      </c>
      <c r="E40" t="s">
        <v>108</v>
      </c>
      <c r="F40" t="s">
        <v>29</v>
      </c>
      <c r="G40" t="s">
        <v>37</v>
      </c>
      <c r="H40" t="s">
        <v>118</v>
      </c>
      <c r="I40">
        <v>8</v>
      </c>
      <c r="J40" s="9">
        <v>19.989999999999998</v>
      </c>
      <c r="K40" s="8">
        <f t="shared" si="0"/>
        <v>159.91999999999999</v>
      </c>
      <c r="L40" s="17" t="s">
        <v>119</v>
      </c>
      <c r="M40" s="17"/>
      <c r="O40" s="9"/>
    </row>
    <row r="41" spans="1:15" ht="15.95" customHeight="1">
      <c r="A41">
        <f ca="1">IF(BillsT[[#This Row],[Item Name]]="","",
-6 + COUNTIF(INDEX(BillsT[Item Name],1):BillsT[[#This Row],[Item Name]],"&lt;&gt;") - 1)</f>
        <v>29</v>
      </c>
      <c r="B41">
        <v>376945</v>
      </c>
      <c r="C41" t="s">
        <v>106</v>
      </c>
      <c r="D41" s="14" t="s">
        <v>120</v>
      </c>
      <c r="E41" t="s">
        <v>108</v>
      </c>
      <c r="F41" t="s">
        <v>29</v>
      </c>
      <c r="G41" t="s">
        <v>37</v>
      </c>
      <c r="H41" t="s">
        <v>120</v>
      </c>
      <c r="I41">
        <v>1</v>
      </c>
      <c r="J41" s="9">
        <v>69.989999999999995</v>
      </c>
      <c r="K41" s="8">
        <f t="shared" si="0"/>
        <v>69.989999999999995</v>
      </c>
      <c r="L41" s="17" t="s">
        <v>121</v>
      </c>
      <c r="M41" s="17"/>
      <c r="O41" s="9"/>
    </row>
    <row r="42" spans="1:15">
      <c r="A42">
        <f ca="1">IF(BillsT[[#This Row],[Item Name]]="","",
-6 + COUNTIF(INDEX(BillsT[Item Name],1):BillsT[[#This Row],[Item Name]],"&lt;&gt;") - 1)</f>
        <v>30</v>
      </c>
      <c r="B42">
        <v>376945</v>
      </c>
      <c r="C42" t="s">
        <v>106</v>
      </c>
      <c r="D42" t="s">
        <v>122</v>
      </c>
      <c r="E42" t="s">
        <v>108</v>
      </c>
      <c r="F42" t="s">
        <v>29</v>
      </c>
      <c r="G42" t="s">
        <v>37</v>
      </c>
      <c r="H42" t="s">
        <v>123</v>
      </c>
      <c r="I42">
        <v>2</v>
      </c>
      <c r="J42" s="9">
        <v>13.99</v>
      </c>
      <c r="K42" s="8">
        <f t="shared" si="0"/>
        <v>27.98</v>
      </c>
      <c r="L42" s="17" t="s">
        <v>124</v>
      </c>
      <c r="M42" s="17"/>
      <c r="O42" s="9"/>
    </row>
    <row r="43" spans="1:15">
      <c r="A43">
        <f ca="1">IF(BillsT[[#This Row],[Item Name]]="","",
-6 + COUNTIF(INDEX(BillsT[Item Name],1):BillsT[[#This Row],[Item Name]],"&lt;&gt;") - 1)</f>
        <v>31</v>
      </c>
      <c r="B43">
        <v>376945</v>
      </c>
      <c r="C43" t="s">
        <v>106</v>
      </c>
      <c r="D43" t="s">
        <v>125</v>
      </c>
      <c r="E43" t="s">
        <v>108</v>
      </c>
      <c r="F43" t="s">
        <v>29</v>
      </c>
      <c r="G43" t="s">
        <v>37</v>
      </c>
      <c r="H43" t="s">
        <v>126</v>
      </c>
      <c r="I43">
        <v>2</v>
      </c>
      <c r="J43" s="9">
        <v>8.99</v>
      </c>
      <c r="K43" s="8">
        <f t="shared" si="0"/>
        <v>17.98</v>
      </c>
      <c r="L43" s="17" t="s">
        <v>127</v>
      </c>
      <c r="M43" s="17"/>
      <c r="O43" s="9"/>
    </row>
    <row r="44" spans="1:15">
      <c r="A44">
        <f ca="1">IF(BillsT[[#This Row],[Item Name]]="","",
-6 + COUNTIF(INDEX(BillsT[Item Name],1):BillsT[[#This Row],[Item Name]],"&lt;&gt;") - 1)</f>
        <v>32</v>
      </c>
      <c r="B44">
        <v>376945</v>
      </c>
      <c r="C44" t="s">
        <v>106</v>
      </c>
      <c r="D44" t="s">
        <v>128</v>
      </c>
      <c r="E44" t="s">
        <v>108</v>
      </c>
      <c r="F44" t="s">
        <v>29</v>
      </c>
      <c r="G44" t="s">
        <v>129</v>
      </c>
      <c r="H44" t="s">
        <v>130</v>
      </c>
      <c r="I44">
        <v>2</v>
      </c>
      <c r="J44" s="9">
        <v>100</v>
      </c>
      <c r="K44" s="8">
        <f t="shared" si="0"/>
        <v>200</v>
      </c>
      <c r="L44" s="17" t="s">
        <v>131</v>
      </c>
      <c r="M44" s="17"/>
      <c r="O44" s="9"/>
    </row>
    <row r="45" spans="1:15">
      <c r="A45">
        <f ca="1">IF(BillsT[[#This Row],[Item Name]]="","",
-6 + COUNTIF(INDEX(BillsT[Item Name],1):BillsT[[#This Row],[Item Name]],"&lt;&gt;") - 1)</f>
        <v>33</v>
      </c>
      <c r="B45">
        <v>376945</v>
      </c>
      <c r="C45" t="s">
        <v>106</v>
      </c>
      <c r="D45" t="s">
        <v>132</v>
      </c>
      <c r="E45" t="s">
        <v>108</v>
      </c>
      <c r="F45" t="s">
        <v>29</v>
      </c>
      <c r="G45" t="s">
        <v>37</v>
      </c>
      <c r="H45" t="s">
        <v>133</v>
      </c>
      <c r="I45">
        <v>2</v>
      </c>
      <c r="J45" s="9">
        <v>9.9499999999999993</v>
      </c>
      <c r="K45" s="8">
        <f t="shared" si="0"/>
        <v>19.899999999999999</v>
      </c>
      <c r="L45" s="17" t="s">
        <v>134</v>
      </c>
      <c r="M45" s="17"/>
      <c r="O45" s="9"/>
    </row>
    <row r="46" spans="1:15">
      <c r="A46">
        <f ca="1">IF(BillsT[[#This Row],[Item Name]]="","",
-6 + COUNTIF(INDEX(BillsT[Item Name],1):BillsT[[#This Row],[Item Name]],"&lt;&gt;") - 1)</f>
        <v>34</v>
      </c>
      <c r="B46">
        <v>376945</v>
      </c>
      <c r="C46" t="s">
        <v>106</v>
      </c>
      <c r="D46" t="s">
        <v>135</v>
      </c>
      <c r="E46" t="s">
        <v>108</v>
      </c>
      <c r="F46" t="s">
        <v>29</v>
      </c>
      <c r="G46" t="s">
        <v>37</v>
      </c>
      <c r="H46" t="s">
        <v>136</v>
      </c>
      <c r="I46">
        <v>1</v>
      </c>
      <c r="J46" s="9">
        <v>37.99</v>
      </c>
      <c r="K46" s="8">
        <f t="shared" si="0"/>
        <v>37.99</v>
      </c>
      <c r="L46" s="17" t="s">
        <v>137</v>
      </c>
      <c r="M46" s="17"/>
      <c r="O46" s="9"/>
    </row>
    <row r="47" spans="1:15">
      <c r="A47">
        <f ca="1">IF(BillsT[[#This Row],[Item Name]]="","",
-6 + COUNTIF(INDEX(BillsT[Item Name],1):BillsT[[#This Row],[Item Name]],"&lt;&gt;") - 1)</f>
        <v>35</v>
      </c>
      <c r="B47">
        <v>376945</v>
      </c>
      <c r="C47" t="s">
        <v>106</v>
      </c>
      <c r="D47" t="s">
        <v>138</v>
      </c>
      <c r="E47" t="s">
        <v>108</v>
      </c>
      <c r="F47" t="s">
        <v>29</v>
      </c>
      <c r="G47" t="s">
        <v>37</v>
      </c>
      <c r="H47" t="s">
        <v>139</v>
      </c>
      <c r="I47">
        <v>5</v>
      </c>
      <c r="J47" s="9">
        <v>12.99</v>
      </c>
      <c r="K47" s="8">
        <f>J47*I47</f>
        <v>64.95</v>
      </c>
      <c r="L47" s="17" t="s">
        <v>140</v>
      </c>
      <c r="M47" s="17"/>
      <c r="O47" s="9"/>
    </row>
    <row r="48" spans="1:15">
      <c r="A48" t="str">
        <f>IF(BillsT[[#This Row],[Item Name]]="","",
-6 + COUNTIF(INDEX(BillsT[Item Name],1):BillsT[[#This Row],[Item Name]],"&lt;&gt;") - 1)</f>
        <v/>
      </c>
      <c r="K48" s="8">
        <f>J48*I48</f>
        <v>0</v>
      </c>
      <c r="L48" s="17"/>
      <c r="M48" s="17"/>
      <c r="O48" s="9"/>
    </row>
    <row r="49" spans="1:16">
      <c r="A49" t="str">
        <f>IF(BillsT[[#This Row],[Item Name]]="","",
-6 + COUNTIF(INDEX(BillsT[Item Name],1):BillsT[[#This Row],[Item Name]],"&lt;&gt;") - 1)</f>
        <v/>
      </c>
      <c r="K49" s="8">
        <f t="shared" si="0"/>
        <v>0</v>
      </c>
      <c r="L49" s="17"/>
      <c r="M49" s="17"/>
      <c r="O49" s="9"/>
    </row>
    <row r="50" spans="1:16">
      <c r="A50" t="str">
        <f>IF(BillsT[[#This Row],[Item Name]]="","",
-6 + COUNTIF(INDEX(BillsT[Item Name],1):BillsT[[#This Row],[Item Name]],"&lt;&gt;") - 1)</f>
        <v/>
      </c>
      <c r="K50" s="8">
        <f t="shared" si="0"/>
        <v>0</v>
      </c>
      <c r="L50" s="17"/>
      <c r="M50" s="17"/>
      <c r="O50" s="9"/>
    </row>
    <row r="51" spans="1:16">
      <c r="A51" t="str">
        <f>IF(BillsT[[#This Row],[Item Name]]="","",
-6 + COUNTIF(INDEX(BillsT[Item Name],1):BillsT[[#This Row],[Item Name]],"&lt;&gt;") - 1)</f>
        <v/>
      </c>
      <c r="K51" s="8">
        <f t="shared" si="0"/>
        <v>0</v>
      </c>
      <c r="L51" s="17"/>
      <c r="M51" s="17"/>
      <c r="O51" s="9"/>
    </row>
    <row r="52" spans="1:16">
      <c r="A52" t="str">
        <f>IF(BillsT[[#This Row],[Item Name]]="","",
-6 + COUNTIF(INDEX(BillsT[Item Name],1):BillsT[[#This Row],[Item Name]],"&lt;&gt;") - 1)</f>
        <v/>
      </c>
      <c r="K52" s="8">
        <f t="shared" si="0"/>
        <v>0</v>
      </c>
      <c r="L52" s="17"/>
      <c r="M52" s="17"/>
      <c r="O52" s="9"/>
    </row>
    <row r="53" spans="1:16">
      <c r="A53" t="str">
        <f>IF(BillsT[[#This Row],[Item Name]]="","",
-6 + COUNTIF(INDEX(BillsT[Item Name],1):BillsT[[#This Row],[Item Name]],"&lt;&gt;") - 1)</f>
        <v/>
      </c>
      <c r="K53" s="8">
        <f t="shared" si="0"/>
        <v>0</v>
      </c>
      <c r="L53" s="17"/>
      <c r="M53" s="17"/>
      <c r="O53" s="9"/>
    </row>
    <row r="54" spans="1:16">
      <c r="A54" t="str">
        <f>IF(BillsT[[#This Row],[Item Name]]="","",
-6 + COUNTIF(INDEX(BillsT[Item Name],1):BillsT[[#This Row],[Item Name]],"&lt;&gt;") - 1)</f>
        <v/>
      </c>
      <c r="K54" s="8">
        <f t="shared" si="0"/>
        <v>0</v>
      </c>
      <c r="L54" s="17"/>
      <c r="M54" s="17"/>
      <c r="O54" s="9"/>
    </row>
    <row r="55" spans="1:16">
      <c r="A55" t="str">
        <f>IF(BillsT[[#This Row],[Item Name]]="","",
-6 + COUNTIF(INDEX(BillsT[Item Name],1):BillsT[[#This Row],[Item Name]],"&lt;&gt;") - 1)</f>
        <v/>
      </c>
      <c r="K55" s="8">
        <f t="shared" si="0"/>
        <v>0</v>
      </c>
      <c r="L55" s="17"/>
      <c r="M55" s="17"/>
      <c r="O55" s="9"/>
    </row>
    <row r="56" spans="1:16">
      <c r="A56" t="str">
        <f>IF(BillsT[[#This Row],[Item Name]]="","",
-6 + COUNTIF(INDEX(BillsT[Item Name],1):BillsT[[#This Row],[Item Name]],"&lt;&gt;") - 1)</f>
        <v/>
      </c>
      <c r="K56" s="8">
        <f t="shared" si="0"/>
        <v>0</v>
      </c>
      <c r="L56" s="17"/>
      <c r="M56" s="17"/>
      <c r="O56" s="9"/>
    </row>
    <row r="57" spans="1:16">
      <c r="A57" t="str">
        <f>IF(BillsT[[#This Row],[Item Name]]="","",
-6 + COUNTIF(INDEX(BillsT[Item Name],1):BillsT[[#This Row],[Item Name]],"&lt;&gt;") - 1)</f>
        <v/>
      </c>
      <c r="K57" s="8">
        <f t="shared" si="0"/>
        <v>0</v>
      </c>
      <c r="L57" s="17"/>
      <c r="M57" s="17"/>
      <c r="O57" s="9"/>
    </row>
    <row r="58" spans="1:16">
      <c r="A58" t="str">
        <f>IF(BillsT[[#This Row],[Item Name]]="","",
-6 + COUNTIF(INDEX(BillsT[Item Name],1):BillsT[[#This Row],[Item Name]],"&lt;&gt;") - 1)</f>
        <v/>
      </c>
      <c r="K58" s="8">
        <f t="shared" si="0"/>
        <v>0</v>
      </c>
      <c r="L58" s="17"/>
      <c r="M58" s="17"/>
      <c r="O58" s="9"/>
    </row>
    <row r="59" spans="1:16">
      <c r="A59" t="str">
        <f>IF(BillsT[[#This Row],[Item Name]]="","",
-6 + COUNTIF(INDEX(BillsT[Item Name],1):BillsT[[#This Row],[Item Name]],"&lt;&gt;") - 1)</f>
        <v/>
      </c>
      <c r="K59" s="8">
        <f t="shared" si="0"/>
        <v>0</v>
      </c>
      <c r="L59" s="17"/>
      <c r="M59" s="17"/>
      <c r="O59" s="9"/>
    </row>
    <row r="60" spans="1:16">
      <c r="A60" t="str">
        <f>IF(BillsT[[#This Row],[Item Name]]="","",
-6 + COUNTIF(INDEX(BillsT[Item Name],1):BillsT[[#This Row],[Item Name]],"&lt;&gt;") - 1)</f>
        <v/>
      </c>
      <c r="K60" s="8">
        <f t="shared" si="0"/>
        <v>0</v>
      </c>
      <c r="L60" s="17"/>
      <c r="M60" s="17"/>
      <c r="O60" s="9"/>
    </row>
    <row r="61" spans="1:16" s="15" customFormat="1">
      <c r="A61" t="str">
        <f>IF(BillsT[[#This Row],[Item Name]]="","",
-6 + COUNTIF(INDEX(BillsT[Item Name],1):BillsT[[#This Row],[Item Name]],"&lt;&gt;") - 1)</f>
        <v/>
      </c>
      <c r="B61"/>
      <c r="C61"/>
      <c r="D61"/>
      <c r="E61"/>
      <c r="F61"/>
      <c r="G61"/>
      <c r="H61"/>
      <c r="I61"/>
      <c r="J61" s="9"/>
      <c r="K61" s="8">
        <f t="shared" si="0"/>
        <v>0</v>
      </c>
      <c r="L61" s="17"/>
      <c r="M61" s="17"/>
      <c r="N61"/>
      <c r="O61" s="9"/>
      <c r="P61"/>
    </row>
    <row r="62" spans="1:16" s="15" customFormat="1">
      <c r="A62" s="15" t="str">
        <f>IF(BillsT[[#This Row],[Item Name]]="","",
-6 + COUNTIF(INDEX(BillsT[Item Name],1):BillsT[[#This Row],[Item Name]],"&lt;&gt;") - 1)</f>
        <v/>
      </c>
      <c r="J62" s="18"/>
      <c r="K62" s="40">
        <f t="shared" si="0"/>
        <v>0</v>
      </c>
      <c r="L62" s="36"/>
      <c r="M62" s="36"/>
      <c r="O62" s="18"/>
    </row>
    <row r="63" spans="1:16" s="15" customFormat="1">
      <c r="A63" s="15" t="str">
        <f>IF(BillsT[[#This Row],[Item Name]]="","",
-6 + COUNTIF(INDEX(BillsT[Item Name],1):BillsT[[#This Row],[Item Name]],"&lt;&gt;") - 1)</f>
        <v/>
      </c>
      <c r="J63" s="18"/>
      <c r="K63" s="40">
        <f t="shared" si="0"/>
        <v>0</v>
      </c>
      <c r="L63" s="36"/>
      <c r="M63" s="36"/>
      <c r="O63" s="18"/>
    </row>
    <row r="64" spans="1:16" s="15" customFormat="1">
      <c r="A64" s="15" t="str">
        <f>IF(BillsT[[#This Row],[Item Name]]="","",
-6 + COUNTIF(INDEX(BillsT[Item Name],1):BillsT[[#This Row],[Item Name]],"&lt;&gt;") - 1)</f>
        <v/>
      </c>
      <c r="J64" s="18"/>
      <c r="K64" s="40">
        <f t="shared" si="0"/>
        <v>0</v>
      </c>
      <c r="L64" s="36"/>
      <c r="M64" s="36"/>
      <c r="O64" s="18"/>
    </row>
    <row r="65" spans="1:15" s="15" customFormat="1">
      <c r="A65" s="15" t="str">
        <f>IF(BillsT[[#This Row],[Item Name]]="","",
-6 + COUNTIF(INDEX(BillsT[Item Name],1):BillsT[[#This Row],[Item Name]],"&lt;&gt;") - 1)</f>
        <v/>
      </c>
      <c r="J65" s="18"/>
      <c r="K65" s="40">
        <f t="shared" si="0"/>
        <v>0</v>
      </c>
      <c r="L65" s="36"/>
      <c r="M65" s="36"/>
      <c r="O65" s="18"/>
    </row>
    <row r="66" spans="1:15" s="15" customFormat="1">
      <c r="A66" s="15" t="str">
        <f>IF(BillsT[[#This Row],[Item Name]]="","",
-6 + COUNTIF(INDEX(BillsT[Item Name],1):BillsT[[#This Row],[Item Name]],"&lt;&gt;") - 1)</f>
        <v/>
      </c>
      <c r="J66" s="18"/>
      <c r="K66" s="40">
        <f t="shared" si="0"/>
        <v>0</v>
      </c>
      <c r="L66" s="36"/>
      <c r="M66" s="36"/>
      <c r="O66" s="18"/>
    </row>
    <row r="67" spans="1:15" s="15" customFormat="1">
      <c r="A67" s="15" t="str">
        <f>IF(BillsT[[#This Row],[Item Name]]="","",
-6 + COUNTIF(INDEX(BillsT[Item Name],1):BillsT[[#This Row],[Item Name]],"&lt;&gt;") - 1)</f>
        <v/>
      </c>
      <c r="J67" s="18"/>
      <c r="K67" s="40">
        <f t="shared" ref="K67:K130" si="1">J67*I67</f>
        <v>0</v>
      </c>
      <c r="L67" s="36"/>
      <c r="M67" s="36"/>
      <c r="O67" s="18"/>
    </row>
    <row r="68" spans="1:15" s="15" customFormat="1">
      <c r="A68" s="15" t="str">
        <f>IF(BillsT[[#This Row],[Item Name]]="","",
-6 + COUNTIF(INDEX(BillsT[Item Name],1):BillsT[[#This Row],[Item Name]],"&lt;&gt;") - 1)</f>
        <v/>
      </c>
      <c r="J68" s="18"/>
      <c r="K68" s="40">
        <f t="shared" si="1"/>
        <v>0</v>
      </c>
      <c r="L68" s="36"/>
      <c r="M68" s="36"/>
      <c r="O68" s="18"/>
    </row>
    <row r="69" spans="1:15" s="15" customFormat="1">
      <c r="A69" s="15" t="str">
        <f>IF(BillsT[[#This Row],[Item Name]]="","",
-6 + COUNTIF(INDEX(BillsT[Item Name],1):BillsT[[#This Row],[Item Name]],"&lt;&gt;") - 1)</f>
        <v/>
      </c>
      <c r="J69" s="18"/>
      <c r="K69" s="40">
        <f t="shared" si="1"/>
        <v>0</v>
      </c>
      <c r="L69" s="36"/>
      <c r="M69" s="36"/>
      <c r="O69" s="18"/>
    </row>
    <row r="70" spans="1:15" s="15" customFormat="1">
      <c r="A70" s="15" t="str">
        <f>IF(BillsT[[#This Row],[Item Name]]="","",
-6 + COUNTIF(INDEX(BillsT[Item Name],1):BillsT[[#This Row],[Item Name]],"&lt;&gt;") - 1)</f>
        <v/>
      </c>
      <c r="J70" s="18"/>
      <c r="K70" s="40">
        <f t="shared" si="1"/>
        <v>0</v>
      </c>
      <c r="L70" s="36"/>
      <c r="M70" s="36"/>
      <c r="O70" s="18"/>
    </row>
    <row r="71" spans="1:15" s="15" customFormat="1">
      <c r="A71" s="15" t="str">
        <f>IF(BillsT[[#This Row],[Item Name]]="","",
-6 + COUNTIF(INDEX(BillsT[Item Name],1):BillsT[[#This Row],[Item Name]],"&lt;&gt;") - 1)</f>
        <v/>
      </c>
      <c r="J71" s="18"/>
      <c r="K71" s="40">
        <f t="shared" si="1"/>
        <v>0</v>
      </c>
      <c r="L71" s="36"/>
      <c r="M71" s="36"/>
      <c r="O71" s="18"/>
    </row>
    <row r="72" spans="1:15" s="15" customFormat="1">
      <c r="A72" s="15" t="str">
        <f>IF(BillsT[[#This Row],[Item Name]]="","",
-6 + COUNTIF(INDEX(BillsT[Item Name],1):BillsT[[#This Row],[Item Name]],"&lt;&gt;") - 1)</f>
        <v/>
      </c>
      <c r="J72" s="18"/>
      <c r="K72" s="40">
        <f t="shared" si="1"/>
        <v>0</v>
      </c>
      <c r="L72" s="36"/>
      <c r="M72" s="36"/>
      <c r="O72" s="18"/>
    </row>
    <row r="73" spans="1:15" s="15" customFormat="1">
      <c r="A73" s="15" t="str">
        <f>IF(BillsT[[#This Row],[Item Name]]="","",
-6 + COUNTIF(INDEX(BillsT[Item Name],1):BillsT[[#This Row],[Item Name]],"&lt;&gt;") - 1)</f>
        <v/>
      </c>
      <c r="J73" s="18"/>
      <c r="K73" s="40">
        <f t="shared" si="1"/>
        <v>0</v>
      </c>
      <c r="L73" s="36"/>
      <c r="M73" s="36"/>
      <c r="O73" s="18"/>
    </row>
    <row r="74" spans="1:15" s="15" customFormat="1">
      <c r="A74" s="15" t="str">
        <f>IF(BillsT[[#This Row],[Item Name]]="","",
-6 + COUNTIF(INDEX(BillsT[Item Name],1):BillsT[[#This Row],[Item Name]],"&lt;&gt;") - 1)</f>
        <v/>
      </c>
      <c r="J74" s="18"/>
      <c r="K74" s="40">
        <f t="shared" si="1"/>
        <v>0</v>
      </c>
      <c r="L74" s="36"/>
      <c r="M74" s="36"/>
      <c r="O74" s="18"/>
    </row>
    <row r="75" spans="1:15" s="15" customFormat="1">
      <c r="A75" s="15" t="str">
        <f>IF(BillsT[[#This Row],[Item Name]]="","",
-6 + COUNTIF(INDEX(BillsT[Item Name],1):BillsT[[#This Row],[Item Name]],"&lt;&gt;") - 1)</f>
        <v/>
      </c>
      <c r="J75" s="18"/>
      <c r="K75" s="40">
        <f t="shared" si="1"/>
        <v>0</v>
      </c>
      <c r="L75" s="36"/>
      <c r="M75" s="36"/>
      <c r="O75" s="18"/>
    </row>
    <row r="76" spans="1:15" s="15" customFormat="1">
      <c r="A76" s="15" t="str">
        <f>IF(BillsT[[#This Row],[Item Name]]="","",
-6 + COUNTIF(INDEX(BillsT[Item Name],1):BillsT[[#This Row],[Item Name]],"&lt;&gt;") - 1)</f>
        <v/>
      </c>
      <c r="J76" s="18"/>
      <c r="K76" s="40">
        <f t="shared" si="1"/>
        <v>0</v>
      </c>
      <c r="L76" s="36"/>
      <c r="M76" s="36"/>
      <c r="O76" s="18"/>
    </row>
    <row r="77" spans="1:15" s="15" customFormat="1">
      <c r="A77" s="15" t="str">
        <f>IF(BillsT[[#This Row],[Item Name]]="","",
-6 + COUNTIF(INDEX(BillsT[Item Name],1):BillsT[[#This Row],[Item Name]],"&lt;&gt;") - 1)</f>
        <v/>
      </c>
      <c r="J77" s="18"/>
      <c r="K77" s="40">
        <f t="shared" si="1"/>
        <v>0</v>
      </c>
      <c r="L77" s="36"/>
      <c r="M77" s="36"/>
      <c r="O77" s="18"/>
    </row>
    <row r="78" spans="1:15" s="15" customFormat="1">
      <c r="A78" s="15" t="str">
        <f>IF(BillsT[[#This Row],[Item Name]]="","",
-6 + COUNTIF(INDEX(BillsT[Item Name],1):BillsT[[#This Row],[Item Name]],"&lt;&gt;") - 1)</f>
        <v/>
      </c>
      <c r="J78" s="18"/>
      <c r="K78" s="40">
        <f t="shared" si="1"/>
        <v>0</v>
      </c>
      <c r="L78" s="36"/>
      <c r="M78" s="36"/>
      <c r="O78" s="18"/>
    </row>
    <row r="79" spans="1:15" s="15" customFormat="1">
      <c r="A79" s="15" t="str">
        <f>IF(BillsT[[#This Row],[Item Name]]="","",
-6 + COUNTIF(INDEX(BillsT[Item Name],1):BillsT[[#This Row],[Item Name]],"&lt;&gt;") - 1)</f>
        <v/>
      </c>
      <c r="J79" s="18"/>
      <c r="K79" s="40">
        <f t="shared" si="1"/>
        <v>0</v>
      </c>
      <c r="L79" s="36"/>
      <c r="M79" s="36"/>
      <c r="O79" s="18"/>
    </row>
    <row r="80" spans="1:15" s="15" customFormat="1">
      <c r="A80" s="15" t="str">
        <f>IF(BillsT[[#This Row],[Item Name]]="","",
-6 + COUNTIF(INDEX(BillsT[Item Name],1):BillsT[[#This Row],[Item Name]],"&lt;&gt;") - 1)</f>
        <v/>
      </c>
      <c r="J80" s="18"/>
      <c r="K80" s="40">
        <f t="shared" si="1"/>
        <v>0</v>
      </c>
      <c r="L80" s="36"/>
      <c r="M80" s="36"/>
      <c r="O80" s="18"/>
    </row>
    <row r="81" spans="1:15" s="15" customFormat="1">
      <c r="A81" s="15" t="str">
        <f>IF(BillsT[[#This Row],[Item Name]]="","",
-6 + COUNTIF(INDEX(BillsT[Item Name],1):BillsT[[#This Row],[Item Name]],"&lt;&gt;") - 1)</f>
        <v/>
      </c>
      <c r="J81" s="18"/>
      <c r="K81" s="40">
        <f t="shared" si="1"/>
        <v>0</v>
      </c>
      <c r="L81" s="36"/>
      <c r="M81" s="36"/>
      <c r="O81" s="18"/>
    </row>
    <row r="82" spans="1:15" s="15" customFormat="1">
      <c r="A82" s="15" t="str">
        <f>IF(BillsT[[#This Row],[Item Name]]="","",
-6 + COUNTIF(INDEX(BillsT[Item Name],1):BillsT[[#This Row],[Item Name]],"&lt;&gt;") - 1)</f>
        <v/>
      </c>
      <c r="J82" s="18"/>
      <c r="K82" s="40">
        <f t="shared" si="1"/>
        <v>0</v>
      </c>
      <c r="L82" s="36"/>
      <c r="M82" s="36"/>
      <c r="O82" s="18"/>
    </row>
    <row r="83" spans="1:15" s="15" customFormat="1">
      <c r="A83" s="15" t="str">
        <f>IF(BillsT[[#This Row],[Item Name]]="","",
-6 + COUNTIF(INDEX(BillsT[Item Name],1):BillsT[[#This Row],[Item Name]],"&lt;&gt;") - 1)</f>
        <v/>
      </c>
      <c r="J83" s="18"/>
      <c r="K83" s="40">
        <f t="shared" si="1"/>
        <v>0</v>
      </c>
      <c r="L83" s="36"/>
      <c r="M83" s="36"/>
      <c r="O83" s="18"/>
    </row>
    <row r="84" spans="1:15" s="15" customFormat="1">
      <c r="A84" s="15" t="str">
        <f>IF(BillsT[[#This Row],[Item Name]]="","",
-6 + COUNTIF(INDEX(BillsT[Item Name],1):BillsT[[#This Row],[Item Name]],"&lt;&gt;") - 1)</f>
        <v/>
      </c>
      <c r="J84" s="18"/>
      <c r="K84" s="40">
        <f t="shared" si="1"/>
        <v>0</v>
      </c>
      <c r="L84" s="36"/>
      <c r="M84" s="36"/>
      <c r="O84" s="18"/>
    </row>
    <row r="85" spans="1:15" s="15" customFormat="1">
      <c r="A85" s="15" t="str">
        <f>IF(BillsT[[#This Row],[Item Name]]="","",
-6 + COUNTIF(INDEX(BillsT[Item Name],1):BillsT[[#This Row],[Item Name]],"&lt;&gt;") - 1)</f>
        <v/>
      </c>
      <c r="J85" s="18"/>
      <c r="K85" s="40">
        <f t="shared" si="1"/>
        <v>0</v>
      </c>
      <c r="L85" s="36"/>
      <c r="M85" s="36"/>
      <c r="O85" s="18"/>
    </row>
    <row r="86" spans="1:15" s="15" customFormat="1">
      <c r="A86" s="15" t="str">
        <f>IF(BillsT[[#This Row],[Item Name]]="","",
-6 + COUNTIF(INDEX(BillsT[Item Name],1):BillsT[[#This Row],[Item Name]],"&lt;&gt;") - 1)</f>
        <v/>
      </c>
      <c r="J86" s="18"/>
      <c r="K86" s="40">
        <f t="shared" si="1"/>
        <v>0</v>
      </c>
      <c r="L86" s="36"/>
      <c r="M86" s="36"/>
      <c r="O86" s="18"/>
    </row>
    <row r="87" spans="1:15" s="15" customFormat="1">
      <c r="A87" s="15" t="str">
        <f>IF(BillsT[[#This Row],[Item Name]]="","",
-6 + COUNTIF(INDEX(BillsT[Item Name],1):BillsT[[#This Row],[Item Name]],"&lt;&gt;") - 1)</f>
        <v/>
      </c>
      <c r="J87" s="18"/>
      <c r="K87" s="40">
        <f t="shared" si="1"/>
        <v>0</v>
      </c>
      <c r="L87" s="36"/>
      <c r="M87" s="36"/>
      <c r="O87" s="18"/>
    </row>
    <row r="88" spans="1:15" s="15" customFormat="1">
      <c r="A88" s="15" t="str">
        <f>IF(BillsT[[#This Row],[Item Name]]="","",
-6 + COUNTIF(INDEX(BillsT[Item Name],1):BillsT[[#This Row],[Item Name]],"&lt;&gt;") - 1)</f>
        <v/>
      </c>
      <c r="J88" s="18"/>
      <c r="K88" s="40">
        <f t="shared" si="1"/>
        <v>0</v>
      </c>
      <c r="L88" s="36"/>
      <c r="M88" s="36"/>
      <c r="O88" s="18"/>
    </row>
    <row r="89" spans="1:15" s="15" customFormat="1">
      <c r="A89" s="15" t="str">
        <f>IF(BillsT[[#This Row],[Item Name]]="","",
-6 + COUNTIF(INDEX(BillsT[Item Name],1):BillsT[[#This Row],[Item Name]],"&lt;&gt;") - 1)</f>
        <v/>
      </c>
      <c r="J89" s="18"/>
      <c r="K89" s="40">
        <f t="shared" si="1"/>
        <v>0</v>
      </c>
      <c r="L89" s="36"/>
      <c r="M89" s="36"/>
      <c r="O89" s="18"/>
    </row>
    <row r="90" spans="1:15" s="15" customFormat="1">
      <c r="A90" s="15" t="str">
        <f>IF(BillsT[[#This Row],[Item Name]]="","",
-6 + COUNTIF(INDEX(BillsT[Item Name],1):BillsT[[#This Row],[Item Name]],"&lt;&gt;") - 1)</f>
        <v/>
      </c>
      <c r="J90" s="18"/>
      <c r="K90" s="40">
        <f t="shared" si="1"/>
        <v>0</v>
      </c>
      <c r="L90" s="36"/>
      <c r="M90" s="36"/>
      <c r="O90" s="18"/>
    </row>
    <row r="91" spans="1:15" s="15" customFormat="1">
      <c r="A91" s="15" t="str">
        <f>IF(BillsT[[#This Row],[Item Name]]="","",
-6 + COUNTIF(INDEX(BillsT[Item Name],1):BillsT[[#This Row],[Item Name]],"&lt;&gt;") - 1)</f>
        <v/>
      </c>
      <c r="J91" s="18"/>
      <c r="K91" s="40">
        <f t="shared" si="1"/>
        <v>0</v>
      </c>
      <c r="L91" s="36"/>
      <c r="M91" s="36"/>
      <c r="O91" s="18"/>
    </row>
    <row r="92" spans="1:15" s="15" customFormat="1">
      <c r="A92" s="15" t="str">
        <f>IF(BillsT[[#This Row],[Item Name]]="","",
-6 + COUNTIF(INDEX(BillsT[Item Name],1):BillsT[[#This Row],[Item Name]],"&lt;&gt;") - 1)</f>
        <v/>
      </c>
      <c r="J92" s="18"/>
      <c r="K92" s="40">
        <f t="shared" si="1"/>
        <v>0</v>
      </c>
      <c r="L92" s="36"/>
      <c r="M92" s="36"/>
      <c r="O92" s="18"/>
    </row>
    <row r="93" spans="1:15" s="15" customFormat="1">
      <c r="A93" s="15" t="str">
        <f>IF(BillsT[[#This Row],[Item Name]]="","",
-6 + COUNTIF(INDEX(BillsT[Item Name],1):BillsT[[#This Row],[Item Name]],"&lt;&gt;") - 1)</f>
        <v/>
      </c>
      <c r="J93" s="18"/>
      <c r="K93" s="40">
        <f t="shared" si="1"/>
        <v>0</v>
      </c>
      <c r="L93" s="36"/>
      <c r="M93" s="36"/>
      <c r="O93" s="18"/>
    </row>
    <row r="94" spans="1:15" s="15" customFormat="1">
      <c r="A94" s="15" t="str">
        <f>IF(BillsT[[#This Row],[Item Name]]="","",
-6 + COUNTIF(INDEX(BillsT[Item Name],1):BillsT[[#This Row],[Item Name]],"&lt;&gt;") - 1)</f>
        <v/>
      </c>
      <c r="J94" s="18"/>
      <c r="K94" s="40">
        <f t="shared" si="1"/>
        <v>0</v>
      </c>
      <c r="L94" s="36"/>
      <c r="M94" s="36"/>
      <c r="O94" s="18"/>
    </row>
    <row r="95" spans="1:15" s="15" customFormat="1">
      <c r="A95" s="15" t="str">
        <f>IF(BillsT[[#This Row],[Item Name]]="","",
-6 + COUNTIF(INDEX(BillsT[Item Name],1):BillsT[[#This Row],[Item Name]],"&lt;&gt;") - 1)</f>
        <v/>
      </c>
      <c r="J95" s="18"/>
      <c r="K95" s="40">
        <f t="shared" si="1"/>
        <v>0</v>
      </c>
      <c r="L95" s="36"/>
      <c r="M95" s="36"/>
      <c r="O95" s="18"/>
    </row>
    <row r="96" spans="1:15" s="15" customFormat="1">
      <c r="A96" s="15" t="str">
        <f>IF(BillsT[[#This Row],[Item Name]]="","",
-6 + COUNTIF(INDEX(BillsT[Item Name],1):BillsT[[#This Row],[Item Name]],"&lt;&gt;") - 1)</f>
        <v/>
      </c>
      <c r="J96" s="18"/>
      <c r="K96" s="40">
        <f t="shared" si="1"/>
        <v>0</v>
      </c>
      <c r="L96" s="36"/>
      <c r="M96" s="36"/>
      <c r="O96" s="18"/>
    </row>
    <row r="97" spans="1:16" s="15" customFormat="1">
      <c r="A97" s="15" t="str">
        <f>IF(BillsT[[#This Row],[Item Name]]="","",
-6 + COUNTIF(INDEX(BillsT[Item Name],1):BillsT[[#This Row],[Item Name]],"&lt;&gt;") - 1)</f>
        <v/>
      </c>
      <c r="J97" s="18"/>
      <c r="K97" s="40">
        <f t="shared" si="1"/>
        <v>0</v>
      </c>
      <c r="L97" s="36"/>
      <c r="M97" s="36"/>
      <c r="O97" s="18"/>
    </row>
    <row r="98" spans="1:16" s="15" customFormat="1">
      <c r="A98" s="15" t="str">
        <f>IF(BillsT[[#This Row],[Item Name]]="","",
-6 + COUNTIF(INDEX(BillsT[Item Name],1):BillsT[[#This Row],[Item Name]],"&lt;&gt;") - 1)</f>
        <v/>
      </c>
      <c r="J98" s="18"/>
      <c r="K98" s="40">
        <f t="shared" si="1"/>
        <v>0</v>
      </c>
      <c r="L98" s="36"/>
      <c r="M98" s="36"/>
      <c r="O98" s="18"/>
    </row>
    <row r="99" spans="1:16" s="15" customFormat="1">
      <c r="A99" s="15" t="str">
        <f>IF(BillsT[[#This Row],[Item Name]]="","",
-6 + COUNTIF(INDEX(BillsT[Item Name],1):BillsT[[#This Row],[Item Name]],"&lt;&gt;") - 1)</f>
        <v/>
      </c>
      <c r="J99" s="18"/>
      <c r="K99" s="40">
        <f t="shared" si="1"/>
        <v>0</v>
      </c>
      <c r="L99" s="36"/>
      <c r="M99" s="36"/>
      <c r="O99" s="18"/>
    </row>
    <row r="100" spans="1:16" s="15" customFormat="1">
      <c r="A100" s="15" t="str">
        <f>IF(BillsT[[#This Row],[Item Name]]="","",
-6 + COUNTIF(INDEX(BillsT[Item Name],1):BillsT[[#This Row],[Item Name]],"&lt;&gt;") - 1)</f>
        <v/>
      </c>
      <c r="J100" s="18"/>
      <c r="K100" s="40">
        <f t="shared" si="1"/>
        <v>0</v>
      </c>
      <c r="L100" s="36"/>
      <c r="M100" s="36"/>
      <c r="O100" s="18"/>
    </row>
    <row r="101" spans="1:16" s="15" customFormat="1">
      <c r="A101" s="15" t="str">
        <f>IF(BillsT[[#This Row],[Item Name]]="","",
-6 + COUNTIF(INDEX(BillsT[Item Name],1):BillsT[[#This Row],[Item Name]],"&lt;&gt;") - 1)</f>
        <v/>
      </c>
      <c r="J101" s="18"/>
      <c r="K101" s="40">
        <f t="shared" si="1"/>
        <v>0</v>
      </c>
      <c r="L101" s="36"/>
      <c r="M101" s="36"/>
      <c r="O101" s="18"/>
    </row>
    <row r="102" spans="1:16" s="15" customFormat="1">
      <c r="A102" s="15" t="str">
        <f>IF(BillsT[[#This Row],[Item Name]]="","",
-6 + COUNTIF(INDEX(BillsT[Item Name],1):BillsT[[#This Row],[Item Name]],"&lt;&gt;") - 1)</f>
        <v/>
      </c>
      <c r="J102" s="18"/>
      <c r="K102" s="40">
        <f t="shared" si="1"/>
        <v>0</v>
      </c>
      <c r="L102" s="36"/>
      <c r="M102" s="36"/>
      <c r="O102" s="18"/>
    </row>
    <row r="103" spans="1:16" s="15" customFormat="1">
      <c r="A103" s="15" t="str">
        <f>IF(BillsT[[#This Row],[Item Name]]="","",
-6 + COUNTIF(INDEX(BillsT[Item Name],1):BillsT[[#This Row],[Item Name]],"&lt;&gt;") - 1)</f>
        <v/>
      </c>
      <c r="J103" s="18"/>
      <c r="K103" s="40">
        <f t="shared" si="1"/>
        <v>0</v>
      </c>
      <c r="L103" s="36"/>
      <c r="M103" s="36"/>
      <c r="O103" s="18"/>
    </row>
    <row r="104" spans="1:16" s="15" customFormat="1">
      <c r="A104" s="15" t="str">
        <f>IF(BillsT[[#This Row],[Item Name]]="","",
-6 + COUNTIF(INDEX(BillsT[Item Name],1):BillsT[[#This Row],[Item Name]],"&lt;&gt;") - 1)</f>
        <v/>
      </c>
      <c r="J104" s="18"/>
      <c r="K104" s="40">
        <f t="shared" si="1"/>
        <v>0</v>
      </c>
      <c r="L104" s="36"/>
      <c r="M104" s="36"/>
      <c r="O104" s="18"/>
    </row>
    <row r="105" spans="1:16" s="15" customFormat="1">
      <c r="A105" s="15" t="str">
        <f>IF(BillsT[[#This Row],[Item Name]]="","",
-6 + COUNTIF(INDEX(BillsT[Item Name],1):BillsT[[#This Row],[Item Name]],"&lt;&gt;") - 1)</f>
        <v/>
      </c>
      <c r="J105" s="18"/>
      <c r="K105" s="40">
        <f t="shared" si="1"/>
        <v>0</v>
      </c>
      <c r="L105" s="36"/>
      <c r="M105" s="36"/>
      <c r="O105" s="18"/>
    </row>
    <row r="106" spans="1:16" s="15" customFormat="1">
      <c r="A106" s="15" t="str">
        <f>IF(BillsT[[#This Row],[Item Name]]="","",
-6 + COUNTIF(INDEX(BillsT[Item Name],1):BillsT[[#This Row],[Item Name]],"&lt;&gt;") - 1)</f>
        <v/>
      </c>
      <c r="J106" s="18"/>
      <c r="K106" s="40">
        <f t="shared" si="1"/>
        <v>0</v>
      </c>
      <c r="L106" s="36"/>
      <c r="M106" s="36"/>
      <c r="O106" s="18"/>
    </row>
    <row r="107" spans="1:16" s="15" customFormat="1">
      <c r="A107" s="15" t="str">
        <f>IF(BillsT[[#This Row],[Item Name]]="","",
-6 + COUNTIF(INDEX(BillsT[Item Name],1):BillsT[[#This Row],[Item Name]],"&lt;&gt;") - 1)</f>
        <v/>
      </c>
      <c r="J107" s="18"/>
      <c r="K107" s="40">
        <f t="shared" si="1"/>
        <v>0</v>
      </c>
      <c r="L107" s="36"/>
      <c r="M107" s="36"/>
      <c r="O107" s="18"/>
    </row>
    <row r="108" spans="1:16" s="41" customFormat="1">
      <c r="A108" s="15" t="str">
        <f>IF(BillsT[[#This Row],[Item Name]]="","",
-6 + COUNTIF(INDEX(BillsT[Item Name],1):BillsT[[#This Row],[Item Name]],"&lt;&gt;") - 1)</f>
        <v/>
      </c>
      <c r="B108" s="15"/>
      <c r="C108" s="15"/>
      <c r="D108" s="15"/>
      <c r="E108" s="15"/>
      <c r="F108" s="15"/>
      <c r="G108" s="15"/>
      <c r="H108" s="15"/>
      <c r="I108" s="15"/>
      <c r="J108" s="18"/>
      <c r="K108" s="40">
        <f t="shared" si="1"/>
        <v>0</v>
      </c>
      <c r="L108" s="36"/>
      <c r="M108" s="36"/>
      <c r="N108" s="15"/>
      <c r="O108" s="18"/>
      <c r="P108" s="15"/>
    </row>
    <row r="109" spans="1:16" s="15" customFormat="1">
      <c r="A109" s="15" t="str">
        <f>IF(BillsT[[#This Row],[Item Name]]="","",
-6 + COUNTIF(INDEX(BillsT[Item Name],1):BillsT[[#This Row],[Item Name]],"&lt;&gt;") - 1)</f>
        <v/>
      </c>
      <c r="J109" s="18"/>
      <c r="K109" s="40">
        <f t="shared" si="1"/>
        <v>0</v>
      </c>
      <c r="L109" s="36"/>
      <c r="M109" s="36"/>
      <c r="O109" s="18"/>
      <c r="P109" s="41"/>
    </row>
    <row r="110" spans="1:16" s="15" customFormat="1">
      <c r="A110" s="15" t="str">
        <f>IF(BillsT[[#This Row],[Item Name]]="","",
-6 + COUNTIF(INDEX(BillsT[Item Name],1):BillsT[[#This Row],[Item Name]],"&lt;&gt;") - 1)</f>
        <v/>
      </c>
      <c r="B110" s="41"/>
      <c r="C110" s="42"/>
      <c r="D110" s="41"/>
      <c r="E110" s="41"/>
      <c r="F110" s="41"/>
      <c r="G110" s="41"/>
      <c r="H110" s="41"/>
      <c r="I110" s="41"/>
      <c r="J110" s="43"/>
      <c r="K110" s="40">
        <f t="shared" si="1"/>
        <v>0</v>
      </c>
      <c r="L110" s="36"/>
      <c r="M110" s="36"/>
      <c r="N110" s="41"/>
      <c r="O110" s="43"/>
    </row>
    <row r="111" spans="1:16" s="15" customFormat="1">
      <c r="A111" s="15" t="str">
        <f>IF(BillsT[[#This Row],[Item Name]]="","",
-6 + COUNTIF(INDEX(BillsT[Item Name],1):BillsT[[#This Row],[Item Name]],"&lt;&gt;") - 1)</f>
        <v/>
      </c>
      <c r="C111" s="44"/>
      <c r="J111" s="18"/>
      <c r="K111" s="40">
        <f t="shared" si="1"/>
        <v>0</v>
      </c>
      <c r="L111" s="36"/>
      <c r="M111" s="36"/>
      <c r="O111" s="18"/>
    </row>
    <row r="112" spans="1:16" s="15" customFormat="1">
      <c r="A112" s="15" t="str">
        <f>IF(BillsT[[#This Row],[Item Name]]="","",
-6 + COUNTIF(INDEX(BillsT[Item Name],1):BillsT[[#This Row],[Item Name]],"&lt;&gt;") - 1)</f>
        <v/>
      </c>
      <c r="C112" s="44"/>
      <c r="J112" s="18"/>
      <c r="K112" s="40">
        <f t="shared" si="1"/>
        <v>0</v>
      </c>
      <c r="L112" s="36"/>
      <c r="M112" s="36"/>
      <c r="O112" s="18"/>
    </row>
    <row r="113" spans="1:15" s="15" customFormat="1">
      <c r="A113" s="15" t="str">
        <f>IF(BillsT[[#This Row],[Item Name]]="","",
-6 + COUNTIF(INDEX(BillsT[Item Name],1):BillsT[[#This Row],[Item Name]],"&lt;&gt;") - 1)</f>
        <v/>
      </c>
      <c r="C113" s="44"/>
      <c r="J113" s="18"/>
      <c r="K113" s="40">
        <f t="shared" si="1"/>
        <v>0</v>
      </c>
      <c r="L113" s="36"/>
      <c r="M113" s="36"/>
      <c r="O113" s="18"/>
    </row>
    <row r="114" spans="1:15" s="15" customFormat="1">
      <c r="A114" s="15" t="str">
        <f>IF(BillsT[[#This Row],[Item Name]]="","",
-6 + COUNTIF(INDEX(BillsT[Item Name],1):BillsT[[#This Row],[Item Name]],"&lt;&gt;") - 1)</f>
        <v/>
      </c>
      <c r="C114" s="44"/>
      <c r="J114" s="18"/>
      <c r="K114" s="40">
        <f t="shared" si="1"/>
        <v>0</v>
      </c>
      <c r="L114" s="36"/>
      <c r="M114" s="36"/>
      <c r="O114" s="18"/>
    </row>
    <row r="115" spans="1:15" s="15" customFormat="1">
      <c r="A115" s="15" t="str">
        <f>IF(BillsT[[#This Row],[Item Name]]="","",
-6 + COUNTIF(INDEX(BillsT[Item Name],1):BillsT[[#This Row],[Item Name]],"&lt;&gt;") - 1)</f>
        <v/>
      </c>
      <c r="C115" s="44"/>
      <c r="J115" s="18"/>
      <c r="K115" s="40">
        <f t="shared" si="1"/>
        <v>0</v>
      </c>
      <c r="L115" s="36"/>
      <c r="M115" s="36"/>
      <c r="O115" s="18"/>
    </row>
    <row r="116" spans="1:15" s="15" customFormat="1">
      <c r="A116" s="15" t="str">
        <f>IF(BillsT[[#This Row],[Item Name]]="","",
-6 + COUNTIF(INDEX(BillsT[Item Name],1):BillsT[[#This Row],[Item Name]],"&lt;&gt;") - 1)</f>
        <v/>
      </c>
      <c r="C116" s="44"/>
      <c r="J116" s="18"/>
      <c r="K116" s="40">
        <f t="shared" si="1"/>
        <v>0</v>
      </c>
      <c r="L116" s="36"/>
      <c r="M116" s="36"/>
      <c r="O116" s="18"/>
    </row>
    <row r="117" spans="1:15" s="15" customFormat="1">
      <c r="A117" s="15" t="str">
        <f>IF(BillsT[[#This Row],[Item Name]]="","",
-6 + COUNTIF(INDEX(BillsT[Item Name],1):BillsT[[#This Row],[Item Name]],"&lt;&gt;") - 1)</f>
        <v/>
      </c>
      <c r="C117" s="44"/>
      <c r="J117" s="18"/>
      <c r="K117" s="40">
        <f t="shared" si="1"/>
        <v>0</v>
      </c>
      <c r="L117" s="36"/>
      <c r="M117" s="36"/>
      <c r="O117" s="18"/>
    </row>
    <row r="118" spans="1:15" s="15" customFormat="1">
      <c r="A118" s="15" t="str">
        <f>IF(BillsT[[#This Row],[Item Name]]="","",
-6 + COUNTIF(INDEX(BillsT[Item Name],1):BillsT[[#This Row],[Item Name]],"&lt;&gt;") - 1)</f>
        <v/>
      </c>
      <c r="C118" s="44"/>
      <c r="J118" s="18"/>
      <c r="K118" s="40">
        <f t="shared" si="1"/>
        <v>0</v>
      </c>
      <c r="L118" s="36"/>
      <c r="M118" s="36"/>
      <c r="O118" s="18"/>
    </row>
    <row r="119" spans="1:15" s="15" customFormat="1">
      <c r="A119" s="15" t="str">
        <f>IF(BillsT[[#This Row],[Item Name]]="","",
-6 + COUNTIF(INDEX(BillsT[Item Name],1):BillsT[[#This Row],[Item Name]],"&lt;&gt;") - 1)</f>
        <v/>
      </c>
      <c r="C119" s="44"/>
      <c r="H119" s="45"/>
      <c r="J119" s="18"/>
      <c r="K119" s="40">
        <f t="shared" si="1"/>
        <v>0</v>
      </c>
      <c r="L119" s="36"/>
      <c r="M119" s="36"/>
      <c r="O119" s="18"/>
    </row>
    <row r="120" spans="1:15" s="15" customFormat="1">
      <c r="A120" s="15" t="str">
        <f>IF(BillsT[[#This Row],[Item Name]]="","",
-6 + COUNTIF(INDEX(BillsT[Item Name],1):BillsT[[#This Row],[Item Name]],"&lt;&gt;") - 1)</f>
        <v/>
      </c>
      <c r="C120" s="44"/>
      <c r="J120" s="18"/>
      <c r="K120" s="40">
        <f t="shared" si="1"/>
        <v>0</v>
      </c>
      <c r="L120" s="36"/>
      <c r="M120" s="36"/>
      <c r="O120" s="18"/>
    </row>
    <row r="121" spans="1:15" s="15" customFormat="1">
      <c r="A121" s="15" t="str">
        <f>IF(BillsT[[#This Row],[Item Name]]="","",
-6 + COUNTIF(INDEX(BillsT[Item Name],1):BillsT[[#This Row],[Item Name]],"&lt;&gt;") - 1)</f>
        <v/>
      </c>
      <c r="C121" s="44"/>
      <c r="J121" s="18"/>
      <c r="K121" s="40">
        <f t="shared" si="1"/>
        <v>0</v>
      </c>
      <c r="L121" s="36"/>
      <c r="M121" s="36"/>
      <c r="O121" s="18"/>
    </row>
    <row r="122" spans="1:15" s="15" customFormat="1">
      <c r="A122" s="15" t="str">
        <f>IF(BillsT[[#This Row],[Item Name]]="","",
-6 + COUNTIF(INDEX(BillsT[Item Name],1):BillsT[[#This Row],[Item Name]],"&lt;&gt;") - 1)</f>
        <v/>
      </c>
      <c r="C122" s="44"/>
      <c r="H122" s="45"/>
      <c r="J122" s="18"/>
      <c r="K122" s="40">
        <f t="shared" si="1"/>
        <v>0</v>
      </c>
      <c r="L122" s="36"/>
      <c r="M122" s="36"/>
      <c r="O122" s="18"/>
    </row>
    <row r="123" spans="1:15" s="15" customFormat="1">
      <c r="A123" s="15" t="str">
        <f>IF(BillsT[[#This Row],[Item Name]]="","",
-6 + COUNTIF(INDEX(BillsT[Item Name],1):BillsT[[#This Row],[Item Name]],"&lt;&gt;") - 1)</f>
        <v/>
      </c>
      <c r="C123" s="44"/>
      <c r="J123" s="18"/>
      <c r="K123" s="40">
        <f t="shared" si="1"/>
        <v>0</v>
      </c>
      <c r="L123" s="36"/>
      <c r="M123" s="36"/>
      <c r="O123" s="18"/>
    </row>
    <row r="124" spans="1:15" s="15" customFormat="1">
      <c r="A124" s="15" t="str">
        <f>IF(BillsT[[#This Row],[Item Name]]="","",
-6 + COUNTIF(INDEX(BillsT[Item Name],1):BillsT[[#This Row],[Item Name]],"&lt;&gt;") - 1)</f>
        <v/>
      </c>
      <c r="C124" s="44"/>
      <c r="D124" s="35"/>
      <c r="J124" s="18"/>
      <c r="K124" s="40">
        <f t="shared" si="1"/>
        <v>0</v>
      </c>
      <c r="L124" s="36"/>
      <c r="M124" s="36"/>
      <c r="O124" s="18"/>
    </row>
    <row r="125" spans="1:15" s="15" customFormat="1">
      <c r="A125" s="15" t="str">
        <f>IF(BillsT[[#This Row],[Item Name]]="","",
-6 + COUNTIF(INDEX(BillsT[Item Name],1):BillsT[[#This Row],[Item Name]],"&lt;&gt;") - 1)</f>
        <v/>
      </c>
      <c r="C125" s="44"/>
      <c r="J125" s="18"/>
      <c r="K125" s="40">
        <f t="shared" si="1"/>
        <v>0</v>
      </c>
      <c r="L125" s="36"/>
      <c r="M125" s="36"/>
      <c r="O125" s="18"/>
    </row>
    <row r="126" spans="1:15" s="15" customFormat="1">
      <c r="A126" s="15" t="str">
        <f>IF(BillsT[[#This Row],[Item Name]]="","",
-6 + COUNTIF(INDEX(BillsT[Item Name],1):BillsT[[#This Row],[Item Name]],"&lt;&gt;") - 1)</f>
        <v/>
      </c>
      <c r="C126" s="44"/>
      <c r="J126" s="18"/>
      <c r="K126" s="40">
        <f t="shared" si="1"/>
        <v>0</v>
      </c>
      <c r="L126" s="36"/>
      <c r="M126" s="36"/>
      <c r="O126" s="18"/>
    </row>
    <row r="127" spans="1:15" s="15" customFormat="1">
      <c r="A127" s="15" t="str">
        <f>IF(BillsT[[#This Row],[Item Name]]="","",
-6 + COUNTIF(INDEX(BillsT[Item Name],1):BillsT[[#This Row],[Item Name]],"&lt;&gt;") - 1)</f>
        <v/>
      </c>
      <c r="C127" s="44"/>
      <c r="J127" s="18"/>
      <c r="K127" s="40">
        <f t="shared" si="1"/>
        <v>0</v>
      </c>
      <c r="L127" s="36"/>
      <c r="M127" s="36"/>
      <c r="O127" s="18"/>
    </row>
    <row r="128" spans="1:15" s="15" customFormat="1">
      <c r="A128" s="15" t="str">
        <f>IF(BillsT[[#This Row],[Item Name]]="","",
-6 + COUNTIF(INDEX(BillsT[Item Name],1):BillsT[[#This Row],[Item Name]],"&lt;&gt;") - 1)</f>
        <v/>
      </c>
      <c r="C128" s="44"/>
      <c r="J128" s="18"/>
      <c r="K128" s="40">
        <f t="shared" si="1"/>
        <v>0</v>
      </c>
      <c r="L128" s="36"/>
      <c r="M128" s="36"/>
      <c r="O128" s="18"/>
    </row>
    <row r="129" spans="1:15" s="15" customFormat="1">
      <c r="A129" s="15" t="str">
        <f>IF(BillsT[[#This Row],[Item Name]]="","",
-6 + COUNTIF(INDEX(BillsT[Item Name],1):BillsT[[#This Row],[Item Name]],"&lt;&gt;") - 1)</f>
        <v/>
      </c>
      <c r="C129" s="44"/>
      <c r="J129" s="18"/>
      <c r="K129" s="40">
        <f t="shared" si="1"/>
        <v>0</v>
      </c>
      <c r="L129" s="36"/>
      <c r="M129" s="36"/>
      <c r="O129" s="18"/>
    </row>
    <row r="130" spans="1:15" s="15" customFormat="1">
      <c r="A130" s="15" t="str">
        <f>IF(BillsT[[#This Row],[Item Name]]="","",
-6 + COUNTIF(INDEX(BillsT[Item Name],1):BillsT[[#This Row],[Item Name]],"&lt;&gt;") - 1)</f>
        <v/>
      </c>
      <c r="C130" s="44"/>
      <c r="J130" s="18"/>
      <c r="K130" s="40">
        <f t="shared" si="1"/>
        <v>0</v>
      </c>
      <c r="L130" s="36"/>
      <c r="M130" s="36"/>
      <c r="O130" s="18"/>
    </row>
    <row r="131" spans="1:15" s="15" customFormat="1">
      <c r="A131" s="15" t="str">
        <f>IF(BillsT[[#This Row],[Item Name]]="","",
-6 + COUNTIF(INDEX(BillsT[Item Name],1):BillsT[[#This Row],[Item Name]],"&lt;&gt;") - 1)</f>
        <v/>
      </c>
      <c r="J131" s="18"/>
      <c r="K131" s="40">
        <f t="shared" ref="K131:K194" si="2">J131*I131</f>
        <v>0</v>
      </c>
      <c r="L131" s="36"/>
      <c r="M131" s="36"/>
      <c r="O131" s="18"/>
    </row>
    <row r="132" spans="1:15" s="15" customFormat="1">
      <c r="A132" s="15" t="str">
        <f>IF(BillsT[[#This Row],[Item Name]]="","",
-6 + COUNTIF(INDEX(BillsT[Item Name],1):BillsT[[#This Row],[Item Name]],"&lt;&gt;") - 1)</f>
        <v/>
      </c>
      <c r="J132" s="18"/>
      <c r="K132" s="40">
        <f t="shared" si="2"/>
        <v>0</v>
      </c>
      <c r="L132" s="36"/>
      <c r="M132" s="36"/>
      <c r="O132" s="18"/>
    </row>
    <row r="133" spans="1:15" s="15" customFormat="1">
      <c r="A133" s="15" t="str">
        <f>IF(BillsT[[#This Row],[Item Name]]="","",
-6 + COUNTIF(INDEX(BillsT[Item Name],1):BillsT[[#This Row],[Item Name]],"&lt;&gt;") - 1)</f>
        <v/>
      </c>
      <c r="B133" s="41"/>
      <c r="C133" s="42"/>
      <c r="D133" s="41"/>
      <c r="E133" s="41"/>
      <c r="F133" s="41"/>
      <c r="G133" s="41"/>
      <c r="H133" s="41"/>
      <c r="I133" s="41"/>
      <c r="J133" s="43"/>
      <c r="K133" s="40">
        <f t="shared" si="2"/>
        <v>0</v>
      </c>
      <c r="L133" s="36"/>
      <c r="M133" s="36"/>
      <c r="N133" s="41"/>
      <c r="O133" s="43"/>
    </row>
    <row r="134" spans="1:15" s="15" customFormat="1">
      <c r="A134" s="15" t="str">
        <f>IF(BillsT[[#This Row],[Item Name]]="","",
-6 + COUNTIF(INDEX(BillsT[Item Name],1):BillsT[[#This Row],[Item Name]],"&lt;&gt;") - 1)</f>
        <v/>
      </c>
      <c r="J134" s="18"/>
      <c r="K134" s="40">
        <f t="shared" si="2"/>
        <v>0</v>
      </c>
      <c r="L134" s="36"/>
      <c r="M134" s="36"/>
      <c r="O134" s="18"/>
    </row>
    <row r="135" spans="1:15" s="15" customFormat="1">
      <c r="A135" s="15" t="str">
        <f>IF(BillsT[[#This Row],[Item Name]]="","",
-6 + COUNTIF(INDEX(BillsT[Item Name],1):BillsT[[#This Row],[Item Name]],"&lt;&gt;") - 1)</f>
        <v/>
      </c>
      <c r="J135" s="18"/>
      <c r="K135" s="40">
        <f t="shared" si="2"/>
        <v>0</v>
      </c>
      <c r="L135" s="36"/>
      <c r="M135" s="36"/>
      <c r="O135" s="18"/>
    </row>
    <row r="136" spans="1:15" s="15" customFormat="1">
      <c r="A136" s="15" t="str">
        <f>IF(BillsT[[#This Row],[Item Name]]="","",
-6 + COUNTIF(INDEX(BillsT[Item Name],1):BillsT[[#This Row],[Item Name]],"&lt;&gt;") - 1)</f>
        <v/>
      </c>
      <c r="J136" s="18"/>
      <c r="K136" s="40">
        <f t="shared" si="2"/>
        <v>0</v>
      </c>
      <c r="L136" s="36"/>
      <c r="M136" s="36"/>
      <c r="O136" s="18"/>
    </row>
    <row r="137" spans="1:15" s="15" customFormat="1">
      <c r="A137" s="15" t="str">
        <f>IF(BillsT[[#This Row],[Item Name]]="","",
-6 + COUNTIF(INDEX(BillsT[Item Name],1):BillsT[[#This Row],[Item Name]],"&lt;&gt;") - 1)</f>
        <v/>
      </c>
      <c r="J137" s="18"/>
      <c r="K137" s="40">
        <f t="shared" si="2"/>
        <v>0</v>
      </c>
      <c r="L137" s="36"/>
      <c r="M137" s="36"/>
      <c r="O137" s="18"/>
    </row>
    <row r="138" spans="1:15" s="15" customFormat="1">
      <c r="A138" s="15" t="str">
        <f>IF(BillsT[[#This Row],[Item Name]]="","",
-6 + COUNTIF(INDEX(BillsT[Item Name],1):BillsT[[#This Row],[Item Name]],"&lt;&gt;") - 1)</f>
        <v/>
      </c>
      <c r="J138" s="18"/>
      <c r="K138" s="40">
        <f t="shared" si="2"/>
        <v>0</v>
      </c>
      <c r="L138" s="36"/>
      <c r="M138" s="36"/>
      <c r="O138" s="18"/>
    </row>
    <row r="139" spans="1:15" s="15" customFormat="1">
      <c r="A139" s="15" t="str">
        <f>IF(BillsT[[#This Row],[Item Name]]="","",
-6 + COUNTIF(INDEX(BillsT[Item Name],1):BillsT[[#This Row],[Item Name]],"&lt;&gt;") - 1)</f>
        <v/>
      </c>
      <c r="J139" s="18"/>
      <c r="K139" s="40">
        <f t="shared" si="2"/>
        <v>0</v>
      </c>
      <c r="L139" s="36"/>
      <c r="M139" s="36"/>
      <c r="O139" s="18"/>
    </row>
    <row r="140" spans="1:15" s="15" customFormat="1">
      <c r="A140" s="15" t="str">
        <f>IF(BillsT[[#This Row],[Item Name]]="","",
-6 + COUNTIF(INDEX(BillsT[Item Name],1):BillsT[[#This Row],[Item Name]],"&lt;&gt;") - 1)</f>
        <v/>
      </c>
      <c r="J140" s="18"/>
      <c r="K140" s="40">
        <f t="shared" si="2"/>
        <v>0</v>
      </c>
      <c r="L140" s="36"/>
      <c r="M140" s="36"/>
      <c r="O140" s="18"/>
    </row>
    <row r="141" spans="1:15" s="15" customFormat="1">
      <c r="A141" s="15" t="str">
        <f>IF(BillsT[[#This Row],[Item Name]]="","",
-6 + COUNTIF(INDEX(BillsT[Item Name],1):BillsT[[#This Row],[Item Name]],"&lt;&gt;") - 1)</f>
        <v/>
      </c>
      <c r="J141" s="18"/>
      <c r="K141" s="40">
        <f t="shared" si="2"/>
        <v>0</v>
      </c>
      <c r="L141" s="36"/>
      <c r="M141" s="36"/>
      <c r="O141" s="18"/>
    </row>
    <row r="142" spans="1:15" s="15" customFormat="1">
      <c r="A142" s="15" t="str">
        <f>IF(BillsT[[#This Row],[Item Name]]="","",
-6 + COUNTIF(INDEX(BillsT[Item Name],1):BillsT[[#This Row],[Item Name]],"&lt;&gt;") - 1)</f>
        <v/>
      </c>
      <c r="J142" s="18"/>
      <c r="K142" s="40">
        <f t="shared" si="2"/>
        <v>0</v>
      </c>
      <c r="L142" s="36"/>
      <c r="M142" s="36"/>
      <c r="O142" s="18"/>
    </row>
    <row r="143" spans="1:15" s="15" customFormat="1">
      <c r="A143" s="15" t="str">
        <f>IF(BillsT[[#This Row],[Item Name]]="","",
-6 + COUNTIF(INDEX(BillsT[Item Name],1):BillsT[[#This Row],[Item Name]],"&lt;&gt;") - 1)</f>
        <v/>
      </c>
      <c r="J143" s="18"/>
      <c r="K143" s="40">
        <f t="shared" si="2"/>
        <v>0</v>
      </c>
      <c r="L143" s="36"/>
      <c r="M143" s="36"/>
      <c r="O143" s="18"/>
    </row>
    <row r="144" spans="1:15" s="15" customFormat="1">
      <c r="A144" s="15" t="str">
        <f>IF(BillsT[[#This Row],[Item Name]]="","",
-6 + COUNTIF(INDEX(BillsT[Item Name],1):BillsT[[#This Row],[Item Name]],"&lt;&gt;") - 1)</f>
        <v/>
      </c>
      <c r="B144" s="41"/>
      <c r="C144" s="42"/>
      <c r="D144" s="41"/>
      <c r="E144" s="41"/>
      <c r="F144" s="41"/>
      <c r="G144" s="41"/>
      <c r="H144" s="41"/>
      <c r="I144" s="41"/>
      <c r="J144" s="43"/>
      <c r="K144" s="40">
        <f t="shared" si="2"/>
        <v>0</v>
      </c>
      <c r="L144" s="36"/>
      <c r="M144" s="36"/>
      <c r="N144" s="41"/>
      <c r="O144" s="43"/>
    </row>
    <row r="145" spans="1:15" s="15" customFormat="1">
      <c r="A145" s="15" t="str">
        <f>IF(BillsT[[#This Row],[Item Name]]="","",
-6 + COUNTIF(INDEX(BillsT[Item Name],1):BillsT[[#This Row],[Item Name]],"&lt;&gt;") - 1)</f>
        <v/>
      </c>
      <c r="J145" s="18"/>
      <c r="K145" s="40">
        <f t="shared" si="2"/>
        <v>0</v>
      </c>
      <c r="L145" s="36"/>
      <c r="M145" s="36"/>
      <c r="O145" s="18"/>
    </row>
    <row r="146" spans="1:15" s="15" customFormat="1">
      <c r="A146" s="15" t="str">
        <f>IF(BillsT[[#This Row],[Item Name]]="","",
-6 + COUNTIF(INDEX(BillsT[Item Name],1):BillsT[[#This Row],[Item Name]],"&lt;&gt;") - 1)</f>
        <v/>
      </c>
      <c r="J146" s="18"/>
      <c r="K146" s="40">
        <f t="shared" si="2"/>
        <v>0</v>
      </c>
      <c r="L146" s="36"/>
      <c r="M146" s="36"/>
      <c r="O146" s="18"/>
    </row>
    <row r="147" spans="1:15" s="15" customFormat="1">
      <c r="A147" s="15" t="str">
        <f>IF(BillsT[[#This Row],[Item Name]]="","",
-6 + COUNTIF(INDEX(BillsT[Item Name],1):BillsT[[#This Row],[Item Name]],"&lt;&gt;") - 1)</f>
        <v/>
      </c>
      <c r="J147" s="18"/>
      <c r="K147" s="40">
        <f t="shared" si="2"/>
        <v>0</v>
      </c>
      <c r="L147" s="36"/>
      <c r="M147" s="36"/>
      <c r="O147" s="18"/>
    </row>
    <row r="148" spans="1:15" s="15" customFormat="1">
      <c r="A148" s="15" t="str">
        <f>IF(BillsT[[#This Row],[Item Name]]="","",
-6 + COUNTIF(INDEX(BillsT[Item Name],1):BillsT[[#This Row],[Item Name]],"&lt;&gt;") - 1)</f>
        <v/>
      </c>
      <c r="J148" s="18"/>
      <c r="K148" s="40">
        <f t="shared" si="2"/>
        <v>0</v>
      </c>
      <c r="L148" s="36"/>
      <c r="M148" s="36"/>
      <c r="O148" s="18"/>
    </row>
    <row r="149" spans="1:15" s="15" customFormat="1">
      <c r="A149" s="15" t="str">
        <f>IF(BillsT[[#This Row],[Item Name]]="","",
-6 + COUNTIF(INDEX(BillsT[Item Name],1):BillsT[[#This Row],[Item Name]],"&lt;&gt;") - 1)</f>
        <v/>
      </c>
      <c r="J149" s="18"/>
      <c r="K149" s="40">
        <f t="shared" si="2"/>
        <v>0</v>
      </c>
      <c r="L149" s="36"/>
      <c r="M149" s="36"/>
      <c r="O149" s="18"/>
    </row>
    <row r="150" spans="1:15" s="15" customFormat="1">
      <c r="A150" s="15" t="str">
        <f>IF(BillsT[[#This Row],[Item Name]]="","",
-6 + COUNTIF(INDEX(BillsT[Item Name],1):BillsT[[#This Row],[Item Name]],"&lt;&gt;") - 1)</f>
        <v/>
      </c>
      <c r="J150" s="18"/>
      <c r="K150" s="40">
        <f t="shared" si="2"/>
        <v>0</v>
      </c>
      <c r="L150" s="36"/>
      <c r="M150" s="36"/>
      <c r="O150" s="18"/>
    </row>
    <row r="151" spans="1:15" s="15" customFormat="1">
      <c r="A151" s="15" t="str">
        <f>IF(BillsT[[#This Row],[Item Name]]="","",
-6 + COUNTIF(INDEX(BillsT[Item Name],1):BillsT[[#This Row],[Item Name]],"&lt;&gt;") - 1)</f>
        <v/>
      </c>
      <c r="J151" s="18"/>
      <c r="K151" s="40">
        <f t="shared" si="2"/>
        <v>0</v>
      </c>
      <c r="L151" s="36"/>
      <c r="M151" s="36"/>
      <c r="O151" s="18"/>
    </row>
    <row r="152" spans="1:15" s="15" customFormat="1">
      <c r="A152" s="15" t="str">
        <f>IF(BillsT[[#This Row],[Item Name]]="","",
-6 + COUNTIF(INDEX(BillsT[Item Name],1):BillsT[[#This Row],[Item Name]],"&lt;&gt;") - 1)</f>
        <v/>
      </c>
      <c r="J152" s="18"/>
      <c r="K152" s="40">
        <f t="shared" si="2"/>
        <v>0</v>
      </c>
      <c r="L152" s="36"/>
      <c r="M152" s="36"/>
      <c r="O152" s="18"/>
    </row>
    <row r="153" spans="1:15" s="15" customFormat="1">
      <c r="A153" s="15" t="str">
        <f>IF(BillsT[[#This Row],[Item Name]]="","",
-6 + COUNTIF(INDEX(BillsT[Item Name],1):BillsT[[#This Row],[Item Name]],"&lt;&gt;") - 1)</f>
        <v/>
      </c>
      <c r="J153" s="18"/>
      <c r="K153" s="40">
        <f t="shared" si="2"/>
        <v>0</v>
      </c>
      <c r="L153" s="36"/>
      <c r="M153" s="36"/>
      <c r="O153" s="18"/>
    </row>
    <row r="154" spans="1:15" s="15" customFormat="1">
      <c r="A154" s="15" t="str">
        <f>IF(BillsT[[#This Row],[Item Name]]="","",
-6 + COUNTIF(INDEX(BillsT[Item Name],1):BillsT[[#This Row],[Item Name]],"&lt;&gt;") - 1)</f>
        <v/>
      </c>
      <c r="J154" s="18"/>
      <c r="K154" s="40">
        <f t="shared" si="2"/>
        <v>0</v>
      </c>
      <c r="L154" s="36"/>
      <c r="M154" s="36"/>
      <c r="O154" s="18"/>
    </row>
    <row r="155" spans="1:15" s="15" customFormat="1">
      <c r="A155" s="15" t="str">
        <f>IF(BillsT[[#This Row],[Item Name]]="","",
-6 + COUNTIF(INDEX(BillsT[Item Name],1):BillsT[[#This Row],[Item Name]],"&lt;&gt;") - 1)</f>
        <v/>
      </c>
      <c r="J155" s="18"/>
      <c r="K155" s="40">
        <f t="shared" si="2"/>
        <v>0</v>
      </c>
      <c r="L155" s="36"/>
      <c r="M155" s="36"/>
      <c r="O155" s="18"/>
    </row>
    <row r="156" spans="1:15" s="15" customFormat="1">
      <c r="A156" s="15" t="str">
        <f>IF(BillsT[[#This Row],[Item Name]]="","",
-6 + COUNTIF(INDEX(BillsT[Item Name],1):BillsT[[#This Row],[Item Name]],"&lt;&gt;") - 1)</f>
        <v/>
      </c>
      <c r="J156" s="18"/>
      <c r="K156" s="40">
        <f t="shared" si="2"/>
        <v>0</v>
      </c>
      <c r="L156" s="36"/>
      <c r="M156" s="36"/>
      <c r="O156" s="18"/>
    </row>
    <row r="157" spans="1:15" s="15" customFormat="1">
      <c r="A157" s="15" t="str">
        <f>IF(BillsT[[#This Row],[Item Name]]="","",
-6 + COUNTIF(INDEX(BillsT[Item Name],1):BillsT[[#This Row],[Item Name]],"&lt;&gt;") - 1)</f>
        <v/>
      </c>
      <c r="B157" s="41"/>
      <c r="C157" s="42"/>
      <c r="D157" s="41"/>
      <c r="E157" s="41"/>
      <c r="F157" s="41"/>
      <c r="G157" s="41"/>
      <c r="H157" s="41"/>
      <c r="I157" s="41"/>
      <c r="J157" s="43"/>
      <c r="K157" s="40">
        <f t="shared" si="2"/>
        <v>0</v>
      </c>
      <c r="L157" s="36"/>
      <c r="M157" s="36"/>
      <c r="N157" s="41"/>
      <c r="O157" s="43"/>
    </row>
    <row r="158" spans="1:15" s="15" customFormat="1">
      <c r="A158" s="15" t="str">
        <f>IF(BillsT[[#This Row],[Item Name]]="","",
-6 + COUNTIF(INDEX(BillsT[Item Name],1):BillsT[[#This Row],[Item Name]],"&lt;&gt;") - 1)</f>
        <v/>
      </c>
      <c r="J158" s="18"/>
      <c r="K158" s="40">
        <f t="shared" si="2"/>
        <v>0</v>
      </c>
      <c r="L158" s="36"/>
      <c r="M158" s="36"/>
      <c r="O158" s="18"/>
    </row>
    <row r="159" spans="1:15" s="15" customFormat="1">
      <c r="A159" s="15" t="str">
        <f>IF(BillsT[[#This Row],[Item Name]]="","",
-6 + COUNTIF(INDEX(BillsT[Item Name],1):BillsT[[#This Row],[Item Name]],"&lt;&gt;") - 1)</f>
        <v/>
      </c>
      <c r="J159" s="18"/>
      <c r="K159" s="40">
        <f t="shared" si="2"/>
        <v>0</v>
      </c>
      <c r="L159" s="36"/>
      <c r="M159" s="36"/>
      <c r="O159" s="18"/>
    </row>
    <row r="160" spans="1:15" s="15" customFormat="1">
      <c r="A160" s="15" t="str">
        <f>IF(BillsT[[#This Row],[Item Name]]="","",
-6 + COUNTIF(INDEX(BillsT[Item Name],1):BillsT[[#This Row],[Item Name]],"&lt;&gt;") - 1)</f>
        <v/>
      </c>
      <c r="J160" s="18"/>
      <c r="K160" s="40">
        <f t="shared" si="2"/>
        <v>0</v>
      </c>
      <c r="L160" s="36"/>
      <c r="M160" s="36"/>
      <c r="O160" s="18"/>
    </row>
    <row r="161" spans="1:15" s="15" customFormat="1">
      <c r="A161" s="15" t="str">
        <f>IF(BillsT[[#This Row],[Item Name]]="","",
-6 + COUNTIF(INDEX(BillsT[Item Name],1):BillsT[[#This Row],[Item Name]],"&lt;&gt;") - 1)</f>
        <v/>
      </c>
      <c r="J161" s="18"/>
      <c r="K161" s="40">
        <f t="shared" si="2"/>
        <v>0</v>
      </c>
      <c r="L161" s="36"/>
      <c r="M161" s="36"/>
      <c r="O161" s="18"/>
    </row>
    <row r="162" spans="1:15" s="15" customFormat="1">
      <c r="A162" s="15" t="str">
        <f>IF(BillsT[[#This Row],[Item Name]]="","",
-6 + COUNTIF(INDEX(BillsT[Item Name],1):BillsT[[#This Row],[Item Name]],"&lt;&gt;") - 1)</f>
        <v/>
      </c>
      <c r="J162" s="18"/>
      <c r="K162" s="40">
        <f t="shared" si="2"/>
        <v>0</v>
      </c>
      <c r="L162" s="36"/>
      <c r="M162" s="36"/>
      <c r="O162" s="18"/>
    </row>
    <row r="163" spans="1:15" s="15" customFormat="1">
      <c r="A163" s="15" t="str">
        <f>IF(BillsT[[#This Row],[Item Name]]="","",
-6 + COUNTIF(INDEX(BillsT[Item Name],1):BillsT[[#This Row],[Item Name]],"&lt;&gt;") - 1)</f>
        <v/>
      </c>
      <c r="J163" s="18"/>
      <c r="K163" s="40">
        <f t="shared" si="2"/>
        <v>0</v>
      </c>
      <c r="L163" s="36"/>
      <c r="M163" s="36"/>
      <c r="O163" s="18"/>
    </row>
    <row r="164" spans="1:15" s="15" customFormat="1">
      <c r="A164" s="15" t="str">
        <f>IF(BillsT[[#This Row],[Item Name]]="","",
-6 + COUNTIF(INDEX(BillsT[Item Name],1):BillsT[[#This Row],[Item Name]],"&lt;&gt;") - 1)</f>
        <v/>
      </c>
      <c r="J164" s="18"/>
      <c r="K164" s="40">
        <f t="shared" si="2"/>
        <v>0</v>
      </c>
      <c r="L164" s="36"/>
      <c r="M164" s="36"/>
      <c r="O164" s="18"/>
    </row>
    <row r="165" spans="1:15" s="15" customFormat="1">
      <c r="A165" s="15" t="str">
        <f>IF(BillsT[[#This Row],[Item Name]]="","",
-6 + COUNTIF(INDEX(BillsT[Item Name],1):BillsT[[#This Row],[Item Name]],"&lt;&gt;") - 1)</f>
        <v/>
      </c>
      <c r="J165" s="18"/>
      <c r="K165" s="40">
        <f t="shared" si="2"/>
        <v>0</v>
      </c>
      <c r="L165" s="36"/>
      <c r="M165" s="36"/>
      <c r="O165" s="18"/>
    </row>
    <row r="166" spans="1:15" s="15" customFormat="1">
      <c r="A166" s="15" t="str">
        <f>IF(BillsT[[#This Row],[Item Name]]="","",
-6 + COUNTIF(INDEX(BillsT[Item Name],1):BillsT[[#This Row],[Item Name]],"&lt;&gt;") - 1)</f>
        <v/>
      </c>
      <c r="J166" s="18"/>
      <c r="K166" s="40">
        <f t="shared" si="2"/>
        <v>0</v>
      </c>
      <c r="L166" s="36"/>
      <c r="M166" s="36"/>
      <c r="O166" s="18"/>
    </row>
    <row r="167" spans="1:15" s="15" customFormat="1">
      <c r="A167" s="15" t="str">
        <f>IF(BillsT[[#This Row],[Item Name]]="","",
-6 + COUNTIF(INDEX(BillsT[Item Name],1):BillsT[[#This Row],[Item Name]],"&lt;&gt;") - 1)</f>
        <v/>
      </c>
      <c r="J167" s="18"/>
      <c r="K167" s="40">
        <f t="shared" si="2"/>
        <v>0</v>
      </c>
      <c r="L167" s="36"/>
      <c r="M167" s="36"/>
      <c r="O167" s="18"/>
    </row>
    <row r="168" spans="1:15" s="15" customFormat="1">
      <c r="A168" s="15" t="str">
        <f>IF(BillsT[[#This Row],[Item Name]]="","",
-6 + COUNTIF(INDEX(BillsT[Item Name],1):BillsT[[#This Row],[Item Name]],"&lt;&gt;") - 1)</f>
        <v/>
      </c>
      <c r="J168" s="18"/>
      <c r="K168" s="40">
        <f t="shared" si="2"/>
        <v>0</v>
      </c>
      <c r="L168" s="36"/>
      <c r="M168" s="36"/>
      <c r="O168" s="18"/>
    </row>
    <row r="169" spans="1:15" s="15" customFormat="1">
      <c r="A169" s="15" t="str">
        <f>IF(BillsT[[#This Row],[Item Name]]="","",
-6 + COUNTIF(INDEX(BillsT[Item Name],1):BillsT[[#This Row],[Item Name]],"&lt;&gt;") - 1)</f>
        <v/>
      </c>
      <c r="J169" s="18"/>
      <c r="K169" s="40">
        <f t="shared" si="2"/>
        <v>0</v>
      </c>
      <c r="L169" s="36"/>
      <c r="M169" s="36"/>
      <c r="O169" s="18"/>
    </row>
    <row r="170" spans="1:15" s="15" customFormat="1">
      <c r="A170" s="15" t="str">
        <f>IF(BillsT[[#This Row],[Item Name]]="","",
-6 + COUNTIF(INDEX(BillsT[Item Name],1):BillsT[[#This Row],[Item Name]],"&lt;&gt;") - 1)</f>
        <v/>
      </c>
      <c r="J170" s="18"/>
      <c r="K170" s="40">
        <f t="shared" si="2"/>
        <v>0</v>
      </c>
      <c r="L170" s="36"/>
      <c r="M170" s="36"/>
      <c r="O170" s="18"/>
    </row>
    <row r="171" spans="1:15" s="15" customFormat="1">
      <c r="A171" s="15" t="str">
        <f>IF(BillsT[[#This Row],[Item Name]]="","",
-6 + COUNTIF(INDEX(BillsT[Item Name],1):BillsT[[#This Row],[Item Name]],"&lt;&gt;") - 1)</f>
        <v/>
      </c>
      <c r="B171" s="37"/>
      <c r="C171" s="37"/>
      <c r="D171" s="37"/>
      <c r="F171" s="37"/>
      <c r="G171" s="37"/>
      <c r="H171" s="37"/>
      <c r="I171" s="37"/>
      <c r="J171" s="50"/>
      <c r="K171" s="40">
        <f t="shared" si="2"/>
        <v>0</v>
      </c>
      <c r="L171" s="36"/>
      <c r="M171" s="36"/>
      <c r="N171" s="37"/>
      <c r="O171" s="18"/>
    </row>
    <row r="172" spans="1:15" s="15" customFormat="1">
      <c r="A172" s="15" t="str">
        <f>IF(BillsT[[#This Row],[Item Name]]="","",
-6 + COUNTIF(INDEX(BillsT[Item Name],1):BillsT[[#This Row],[Item Name]],"&lt;&gt;") - 1)</f>
        <v/>
      </c>
      <c r="B172" s="37"/>
      <c r="C172" s="37"/>
      <c r="D172" s="37"/>
      <c r="F172" s="37"/>
      <c r="G172" s="37"/>
      <c r="H172" s="37"/>
      <c r="I172" s="37"/>
      <c r="J172" s="50"/>
      <c r="K172" s="40">
        <f t="shared" si="2"/>
        <v>0</v>
      </c>
      <c r="L172" s="36"/>
      <c r="M172" s="36"/>
      <c r="N172" s="37"/>
      <c r="O172" s="18"/>
    </row>
    <row r="173" spans="1:15" s="15" customFormat="1">
      <c r="A173" s="15" t="str">
        <f>IF(BillsT[[#This Row],[Item Name]]="","",
-6 + COUNTIF(INDEX(BillsT[Item Name],1):BillsT[[#This Row],[Item Name]],"&lt;&gt;") - 1)</f>
        <v/>
      </c>
      <c r="J173" s="18"/>
      <c r="K173" s="40">
        <f t="shared" si="2"/>
        <v>0</v>
      </c>
      <c r="L173" s="36"/>
      <c r="M173" s="36"/>
      <c r="O173" s="18"/>
    </row>
    <row r="174" spans="1:15" s="15" customFormat="1">
      <c r="A174" s="15" t="str">
        <f>IF(BillsT[[#This Row],[Item Name]]="","",
-6 + COUNTIF(INDEX(BillsT[Item Name],1):BillsT[[#This Row],[Item Name]],"&lt;&gt;") - 1)</f>
        <v/>
      </c>
      <c r="J174" s="18"/>
      <c r="K174" s="40">
        <f t="shared" si="2"/>
        <v>0</v>
      </c>
      <c r="L174" s="36"/>
      <c r="M174" s="36"/>
      <c r="O174" s="18"/>
    </row>
    <row r="175" spans="1:15" s="15" customFormat="1">
      <c r="A175" s="15" t="str">
        <f>IF(BillsT[[#This Row],[Item Name]]="","",
-6 + COUNTIF(INDEX(BillsT[Item Name],1):BillsT[[#This Row],[Item Name]],"&lt;&gt;") - 1)</f>
        <v/>
      </c>
      <c r="J175" s="18"/>
      <c r="K175" s="40">
        <f t="shared" si="2"/>
        <v>0</v>
      </c>
      <c r="L175" s="36"/>
      <c r="M175" s="36"/>
      <c r="O175" s="18"/>
    </row>
    <row r="176" spans="1:15" s="15" customFormat="1">
      <c r="A176" s="15" t="str">
        <f>IF(BillsT[[#This Row],[Item Name]]="","",
-6 + COUNTIF(INDEX(BillsT[Item Name],1):BillsT[[#This Row],[Item Name]],"&lt;&gt;") - 1)</f>
        <v/>
      </c>
      <c r="C176" s="44"/>
      <c r="J176" s="18"/>
      <c r="K176" s="40">
        <f t="shared" si="2"/>
        <v>0</v>
      </c>
      <c r="L176" s="36"/>
      <c r="M176" s="36"/>
      <c r="O176" s="18"/>
    </row>
    <row r="177" spans="1:15" s="15" customFormat="1">
      <c r="A177" s="15" t="str">
        <f>IF(BillsT[[#This Row],[Item Name]]="","",
-6 + COUNTIF(INDEX(BillsT[Item Name],1):BillsT[[#This Row],[Item Name]],"&lt;&gt;") - 1)</f>
        <v/>
      </c>
      <c r="C177" s="44"/>
      <c r="J177" s="18"/>
      <c r="K177" s="40">
        <f t="shared" si="2"/>
        <v>0</v>
      </c>
      <c r="L177" s="36"/>
      <c r="M177" s="36"/>
      <c r="O177" s="18"/>
    </row>
    <row r="178" spans="1:15" s="15" customFormat="1">
      <c r="A178" s="15" t="str">
        <f>IF(BillsT[[#This Row],[Item Name]]="","",
-6 + COUNTIF(INDEX(BillsT[Item Name],1):BillsT[[#This Row],[Item Name]],"&lt;&gt;") - 1)</f>
        <v/>
      </c>
      <c r="C178" s="44"/>
      <c r="J178" s="18"/>
      <c r="K178" s="40">
        <f t="shared" si="2"/>
        <v>0</v>
      </c>
      <c r="L178" s="36"/>
      <c r="M178" s="36"/>
      <c r="O178" s="18"/>
    </row>
    <row r="179" spans="1:15" s="15" customFormat="1">
      <c r="A179" s="15" t="str">
        <f>IF(BillsT[[#This Row],[Item Name]]="","",
-6 + COUNTIF(INDEX(BillsT[Item Name],1):BillsT[[#This Row],[Item Name]],"&lt;&gt;") - 1)</f>
        <v/>
      </c>
      <c r="C179" s="44"/>
      <c r="J179" s="18"/>
      <c r="K179" s="40">
        <f t="shared" si="2"/>
        <v>0</v>
      </c>
      <c r="L179" s="36"/>
      <c r="M179" s="36"/>
      <c r="O179" s="18"/>
    </row>
    <row r="180" spans="1:15" s="15" customFormat="1">
      <c r="A180" s="15" t="str">
        <f>IF(BillsT[[#This Row],[Item Name]]="","",
-6 + COUNTIF(INDEX(BillsT[Item Name],1):BillsT[[#This Row],[Item Name]],"&lt;&gt;") - 1)</f>
        <v/>
      </c>
      <c r="C180" s="44"/>
      <c r="J180" s="18"/>
      <c r="K180" s="40">
        <f t="shared" si="2"/>
        <v>0</v>
      </c>
      <c r="L180" s="36"/>
      <c r="M180" s="36"/>
      <c r="O180" s="18"/>
    </row>
    <row r="181" spans="1:15" s="15" customFormat="1">
      <c r="A181" s="15" t="str">
        <f>IF(BillsT[[#This Row],[Item Name]]="","",
-6 + COUNTIF(INDEX(BillsT[Item Name],1):BillsT[[#This Row],[Item Name]],"&lt;&gt;") - 1)</f>
        <v/>
      </c>
      <c r="C181" s="44"/>
      <c r="J181" s="18"/>
      <c r="K181" s="40">
        <f t="shared" si="2"/>
        <v>0</v>
      </c>
      <c r="L181" s="36"/>
      <c r="M181" s="36"/>
      <c r="O181" s="18"/>
    </row>
    <row r="182" spans="1:15" s="15" customFormat="1">
      <c r="A182" s="15" t="str">
        <f>IF(BillsT[[#This Row],[Item Name]]="","",
-6 + COUNTIF(INDEX(BillsT[Item Name],1):BillsT[[#This Row],[Item Name]],"&lt;&gt;") - 1)</f>
        <v/>
      </c>
      <c r="C182" s="44"/>
      <c r="J182" s="18"/>
      <c r="K182" s="40">
        <f t="shared" si="2"/>
        <v>0</v>
      </c>
      <c r="L182" s="36"/>
      <c r="M182" s="36"/>
      <c r="O182" s="18"/>
    </row>
    <row r="183" spans="1:15" s="15" customFormat="1">
      <c r="A183" s="15" t="str">
        <f>IF(BillsT[[#This Row],[Item Name]]="","",
-6 + COUNTIF(INDEX(BillsT[Item Name],1):BillsT[[#This Row],[Item Name]],"&lt;&gt;") - 1)</f>
        <v/>
      </c>
      <c r="C183" s="44"/>
      <c r="J183" s="18"/>
      <c r="K183" s="40">
        <f t="shared" si="2"/>
        <v>0</v>
      </c>
      <c r="L183" s="36"/>
      <c r="M183" s="36"/>
      <c r="O183" s="18"/>
    </row>
    <row r="184" spans="1:15" s="15" customFormat="1">
      <c r="A184" s="15" t="str">
        <f>IF(BillsT[[#This Row],[Item Name]]="","",
-6 + COUNTIF(INDEX(BillsT[Item Name],1):BillsT[[#This Row],[Item Name]],"&lt;&gt;") - 1)</f>
        <v/>
      </c>
      <c r="C184" s="44"/>
      <c r="J184" s="18"/>
      <c r="K184" s="40">
        <f t="shared" si="2"/>
        <v>0</v>
      </c>
      <c r="L184" s="36"/>
      <c r="M184" s="36"/>
      <c r="O184" s="18"/>
    </row>
    <row r="185" spans="1:15" s="15" customFormat="1">
      <c r="A185" s="15" t="str">
        <f>IF(BillsT[[#This Row],[Item Name]]="","",
-6 + COUNTIF(INDEX(BillsT[Item Name],1):BillsT[[#This Row],[Item Name]],"&lt;&gt;") - 1)</f>
        <v/>
      </c>
      <c r="C185" s="37"/>
      <c r="J185" s="18"/>
      <c r="K185" s="40">
        <f t="shared" si="2"/>
        <v>0</v>
      </c>
      <c r="L185" s="36"/>
      <c r="M185" s="36"/>
      <c r="O185" s="18"/>
    </row>
    <row r="186" spans="1:15" s="15" customFormat="1">
      <c r="A186" s="15" t="str">
        <f>IF(BillsT[[#This Row],[Item Name]]="","",
-6 + COUNTIF(INDEX(BillsT[Item Name],1):BillsT[[#This Row],[Item Name]],"&lt;&gt;") - 1)</f>
        <v/>
      </c>
      <c r="C186" s="37"/>
      <c r="J186" s="18"/>
      <c r="K186" s="40">
        <f t="shared" si="2"/>
        <v>0</v>
      </c>
      <c r="L186" s="36"/>
      <c r="M186" s="36"/>
      <c r="O186" s="18"/>
    </row>
    <row r="187" spans="1:15" s="15" customFormat="1">
      <c r="A187" s="15" t="str">
        <f>IF(BillsT[[#This Row],[Item Name]]="","",
-6 + COUNTIF(INDEX(BillsT[Item Name],1):BillsT[[#This Row],[Item Name]],"&lt;&gt;") - 1)</f>
        <v/>
      </c>
      <c r="C187" s="37"/>
      <c r="J187" s="18"/>
      <c r="K187" s="40">
        <f t="shared" si="2"/>
        <v>0</v>
      </c>
      <c r="L187" s="36"/>
      <c r="M187" s="36"/>
      <c r="O187" s="18"/>
    </row>
    <row r="188" spans="1:15" s="15" customFormat="1">
      <c r="A188" s="15" t="str">
        <f>IF(BillsT[[#This Row],[Item Name]]="","",
-6 + COUNTIF(INDEX(BillsT[Item Name],1):BillsT[[#This Row],[Item Name]],"&lt;&gt;") - 1)</f>
        <v/>
      </c>
      <c r="C188" s="37"/>
      <c r="J188" s="18"/>
      <c r="K188" s="40">
        <f t="shared" si="2"/>
        <v>0</v>
      </c>
      <c r="L188" s="36"/>
      <c r="M188" s="36"/>
      <c r="O188" s="18"/>
    </row>
    <row r="189" spans="1:15" s="15" customFormat="1">
      <c r="A189" s="15" t="str">
        <f>IF(BillsT[[#This Row],[Item Name]]="","",
-6 + COUNTIF(INDEX(BillsT[Item Name],1):BillsT[[#This Row],[Item Name]],"&lt;&gt;") - 1)</f>
        <v/>
      </c>
      <c r="C189" s="37"/>
      <c r="J189" s="18"/>
      <c r="K189" s="40">
        <f t="shared" si="2"/>
        <v>0</v>
      </c>
      <c r="L189" s="36"/>
      <c r="M189" s="36"/>
      <c r="O189" s="18"/>
    </row>
    <row r="190" spans="1:15" s="15" customFormat="1">
      <c r="A190" s="15" t="str">
        <f>IF(BillsT[[#This Row],[Item Name]]="","",
-6 + COUNTIF(INDEX(BillsT[Item Name],1):BillsT[[#This Row],[Item Name]],"&lt;&gt;") - 1)</f>
        <v/>
      </c>
      <c r="J190" s="18"/>
      <c r="K190" s="40">
        <f t="shared" si="2"/>
        <v>0</v>
      </c>
      <c r="L190" s="36"/>
      <c r="M190" s="36"/>
      <c r="O190" s="18"/>
    </row>
    <row r="191" spans="1:15" s="15" customFormat="1">
      <c r="A191" s="15" t="str">
        <f>IF(BillsT[[#This Row],[Item Name]]="","",
-6 + COUNTIF(INDEX(BillsT[Item Name],1):BillsT[[#This Row],[Item Name]],"&lt;&gt;") - 1)</f>
        <v/>
      </c>
      <c r="B191" s="41"/>
      <c r="C191" s="42"/>
      <c r="D191" s="41"/>
      <c r="E191" s="41"/>
      <c r="F191" s="41"/>
      <c r="G191" s="41"/>
      <c r="H191" s="41"/>
      <c r="I191" s="41"/>
      <c r="J191" s="43"/>
      <c r="K191" s="40">
        <f t="shared" si="2"/>
        <v>0</v>
      </c>
      <c r="L191" s="36"/>
      <c r="M191" s="36"/>
      <c r="N191" s="41"/>
      <c r="O191" s="43"/>
    </row>
    <row r="192" spans="1:15" s="15" customFormat="1">
      <c r="A192" s="15" t="str">
        <f>IF(BillsT[[#This Row],[Item Name]]="","",
-6 + COUNTIF(INDEX(BillsT[Item Name],1):BillsT[[#This Row],[Item Name]],"&lt;&gt;") - 1)</f>
        <v/>
      </c>
      <c r="J192" s="18"/>
      <c r="K192" s="40">
        <f t="shared" si="2"/>
        <v>0</v>
      </c>
      <c r="L192" s="36"/>
      <c r="M192" s="36"/>
      <c r="O192" s="18"/>
    </row>
    <row r="193" spans="1:15" s="15" customFormat="1">
      <c r="A193" s="15" t="str">
        <f>IF(BillsT[[#This Row],[Item Name]]="","",
-6 + COUNTIF(INDEX(BillsT[Item Name],1):BillsT[[#This Row],[Item Name]],"&lt;&gt;") - 1)</f>
        <v/>
      </c>
      <c r="J193" s="18"/>
      <c r="K193" s="40">
        <f t="shared" si="2"/>
        <v>0</v>
      </c>
      <c r="L193" s="36"/>
      <c r="M193" s="36"/>
      <c r="O193" s="18"/>
    </row>
    <row r="194" spans="1:15" s="15" customFormat="1">
      <c r="A194" s="15" t="str">
        <f>IF(BillsT[[#This Row],[Item Name]]="","",
-6 + COUNTIF(INDEX(BillsT[Item Name],1):BillsT[[#This Row],[Item Name]],"&lt;&gt;") - 1)</f>
        <v/>
      </c>
      <c r="J194" s="18"/>
      <c r="K194" s="40">
        <f t="shared" si="2"/>
        <v>0</v>
      </c>
      <c r="L194" s="36"/>
      <c r="M194" s="36"/>
      <c r="O194" s="18"/>
    </row>
    <row r="195" spans="1:15" s="15" customFormat="1">
      <c r="A195" s="15" t="str">
        <f>IF(BillsT[[#This Row],[Item Name]]="","",
-6 + COUNTIF(INDEX(BillsT[Item Name],1):BillsT[[#This Row],[Item Name]],"&lt;&gt;") - 1)</f>
        <v/>
      </c>
      <c r="J195" s="18"/>
      <c r="K195" s="40">
        <f t="shared" ref="K195:K258" si="3">J195*I195</f>
        <v>0</v>
      </c>
      <c r="L195" s="36"/>
      <c r="M195" s="36"/>
      <c r="O195" s="18"/>
    </row>
    <row r="196" spans="1:15" s="15" customFormat="1">
      <c r="A196" s="15" t="str">
        <f>IF(BillsT[[#This Row],[Item Name]]="","",
-6 + COUNTIF(INDEX(BillsT[Item Name],1):BillsT[[#This Row],[Item Name]],"&lt;&gt;") - 1)</f>
        <v/>
      </c>
      <c r="J196" s="18"/>
      <c r="K196" s="40">
        <f t="shared" si="3"/>
        <v>0</v>
      </c>
      <c r="L196" s="36"/>
      <c r="M196" s="36"/>
      <c r="O196" s="18"/>
    </row>
    <row r="197" spans="1:15" s="15" customFormat="1">
      <c r="A197" s="15" t="str">
        <f>IF(BillsT[[#This Row],[Item Name]]="","",
-6 + COUNTIF(INDEX(BillsT[Item Name],1):BillsT[[#This Row],[Item Name]],"&lt;&gt;") - 1)</f>
        <v/>
      </c>
      <c r="J197" s="18"/>
      <c r="K197" s="40">
        <f t="shared" si="3"/>
        <v>0</v>
      </c>
      <c r="L197" s="36"/>
      <c r="M197" s="36"/>
      <c r="O197" s="18"/>
    </row>
    <row r="198" spans="1:15" s="15" customFormat="1">
      <c r="A198" s="15" t="str">
        <f>IF(BillsT[[#This Row],[Item Name]]="","",
-6 + COUNTIF(INDEX(BillsT[Item Name],1):BillsT[[#This Row],[Item Name]],"&lt;&gt;") - 1)</f>
        <v/>
      </c>
      <c r="J198" s="18"/>
      <c r="K198" s="40">
        <f t="shared" si="3"/>
        <v>0</v>
      </c>
      <c r="L198" s="36"/>
      <c r="M198" s="36"/>
      <c r="O198" s="18"/>
    </row>
    <row r="199" spans="1:15" s="15" customFormat="1">
      <c r="A199" s="15" t="str">
        <f>IF(BillsT[[#This Row],[Item Name]]="","",
-6 + COUNTIF(INDEX(BillsT[Item Name],1):BillsT[[#This Row],[Item Name]],"&lt;&gt;") - 1)</f>
        <v/>
      </c>
      <c r="J199" s="18"/>
      <c r="K199" s="40">
        <f t="shared" si="3"/>
        <v>0</v>
      </c>
      <c r="L199" s="36"/>
      <c r="M199" s="36"/>
      <c r="O199" s="18"/>
    </row>
    <row r="200" spans="1:15" s="15" customFormat="1">
      <c r="A200" s="15" t="str">
        <f>IF(BillsT[[#This Row],[Item Name]]="","",
-6 + COUNTIF(INDEX(BillsT[Item Name],1):BillsT[[#This Row],[Item Name]],"&lt;&gt;") - 1)</f>
        <v/>
      </c>
      <c r="J200" s="18"/>
      <c r="K200" s="40">
        <f t="shared" si="3"/>
        <v>0</v>
      </c>
      <c r="L200" s="36"/>
      <c r="M200" s="36"/>
      <c r="O200" s="18"/>
    </row>
    <row r="201" spans="1:15" s="15" customFormat="1">
      <c r="A201" s="15" t="str">
        <f>IF(BillsT[[#This Row],[Item Name]]="","",
-6 + COUNTIF(INDEX(BillsT[Item Name],1):BillsT[[#This Row],[Item Name]],"&lt;&gt;") - 1)</f>
        <v/>
      </c>
      <c r="J201" s="18"/>
      <c r="K201" s="40">
        <f t="shared" si="3"/>
        <v>0</v>
      </c>
      <c r="L201" s="36"/>
      <c r="M201" s="36"/>
      <c r="O201" s="18"/>
    </row>
    <row r="202" spans="1:15" s="15" customFormat="1">
      <c r="A202" s="15" t="str">
        <f>IF(BillsT[[#This Row],[Item Name]]="","",
-6 + COUNTIF(INDEX(BillsT[Item Name],1):BillsT[[#This Row],[Item Name]],"&lt;&gt;") - 1)</f>
        <v/>
      </c>
      <c r="J202" s="18"/>
      <c r="K202" s="40">
        <f t="shared" si="3"/>
        <v>0</v>
      </c>
      <c r="M202" s="36"/>
      <c r="O202" s="18"/>
    </row>
    <row r="203" spans="1:15" s="15" customFormat="1">
      <c r="A203" s="15" t="str">
        <f>IF(BillsT[[#This Row],[Item Name]]="","",
-6 + COUNTIF(INDEX(BillsT[Item Name],1):BillsT[[#This Row],[Item Name]],"&lt;&gt;") - 1)</f>
        <v/>
      </c>
      <c r="J203" s="18"/>
      <c r="K203" s="40">
        <f t="shared" si="3"/>
        <v>0</v>
      </c>
      <c r="L203" s="36"/>
      <c r="M203" s="36"/>
      <c r="O203" s="18"/>
    </row>
    <row r="204" spans="1:15" s="15" customFormat="1">
      <c r="A204" s="15" t="str">
        <f>IF(BillsT[[#This Row],[Item Name]]="","",
-6 + COUNTIF(INDEX(BillsT[Item Name],1):BillsT[[#This Row],[Item Name]],"&lt;&gt;") - 1)</f>
        <v/>
      </c>
      <c r="J204" s="18"/>
      <c r="K204" s="40">
        <f t="shared" si="3"/>
        <v>0</v>
      </c>
      <c r="L204" s="36"/>
      <c r="M204" s="36"/>
      <c r="O204" s="18"/>
    </row>
    <row r="205" spans="1:15" s="15" customFormat="1">
      <c r="A205" s="15" t="str">
        <f>IF(BillsT[[#This Row],[Item Name]]="","",
-6 + COUNTIF(INDEX(BillsT[Item Name],1):BillsT[[#This Row],[Item Name]],"&lt;&gt;") - 1)</f>
        <v/>
      </c>
      <c r="J205" s="18"/>
      <c r="K205" s="40">
        <f t="shared" si="3"/>
        <v>0</v>
      </c>
      <c r="L205" s="36"/>
      <c r="M205" s="36"/>
      <c r="O205" s="18"/>
    </row>
    <row r="206" spans="1:15" s="15" customFormat="1">
      <c r="A206" s="15" t="str">
        <f>IF(BillsT[[#This Row],[Item Name]]="","",
-6 + COUNTIF(INDEX(BillsT[Item Name],1):BillsT[[#This Row],[Item Name]],"&lt;&gt;") - 1)</f>
        <v/>
      </c>
      <c r="J206" s="18"/>
      <c r="K206" s="40">
        <f t="shared" si="3"/>
        <v>0</v>
      </c>
      <c r="L206" s="36"/>
      <c r="M206" s="36"/>
      <c r="O206" s="18"/>
    </row>
    <row r="207" spans="1:15" s="15" customFormat="1">
      <c r="A207" s="15" t="str">
        <f>IF(BillsT[[#This Row],[Item Name]]="","",
-6 + COUNTIF(INDEX(BillsT[Item Name],1):BillsT[[#This Row],[Item Name]],"&lt;&gt;") - 1)</f>
        <v/>
      </c>
      <c r="J207" s="18"/>
      <c r="K207" s="40">
        <f t="shared" si="3"/>
        <v>0</v>
      </c>
      <c r="L207" s="36"/>
      <c r="M207" s="36"/>
      <c r="O207" s="18"/>
    </row>
    <row r="208" spans="1:15" s="15" customFormat="1">
      <c r="A208" s="15" t="str">
        <f>IF(BillsT[[#This Row],[Item Name]]="","",
-6 + COUNTIF(INDEX(BillsT[Item Name],1):BillsT[[#This Row],[Item Name]],"&lt;&gt;") - 1)</f>
        <v/>
      </c>
      <c r="J208" s="18"/>
      <c r="K208" s="40">
        <f t="shared" si="3"/>
        <v>0</v>
      </c>
      <c r="L208" s="36"/>
      <c r="M208" s="36"/>
      <c r="O208" s="18"/>
    </row>
    <row r="209" spans="1:15" s="15" customFormat="1">
      <c r="A209" s="15" t="str">
        <f>IF(BillsT[[#This Row],[Item Name]]="","",
-6 + COUNTIF(INDEX(BillsT[Item Name],1):BillsT[[#This Row],[Item Name]],"&lt;&gt;") - 1)</f>
        <v/>
      </c>
      <c r="J209" s="18"/>
      <c r="K209" s="40">
        <f t="shared" si="3"/>
        <v>0</v>
      </c>
      <c r="L209" s="36"/>
      <c r="M209" s="36"/>
      <c r="O209" s="18"/>
    </row>
    <row r="210" spans="1:15" s="15" customFormat="1">
      <c r="A210" s="15" t="str">
        <f>IF(BillsT[[#This Row],[Item Name]]="","",
-6 + COUNTIF(INDEX(BillsT[Item Name],1):BillsT[[#This Row],[Item Name]],"&lt;&gt;") - 1)</f>
        <v/>
      </c>
      <c r="J210" s="18"/>
      <c r="K210" s="40">
        <f t="shared" si="3"/>
        <v>0</v>
      </c>
      <c r="L210" s="36"/>
      <c r="M210" s="36"/>
      <c r="O210" s="18"/>
    </row>
    <row r="211" spans="1:15" s="15" customFormat="1">
      <c r="A211" s="15" t="str">
        <f>IF(BillsT[[#This Row],[Item Name]]="","",
-6 + COUNTIF(INDEX(BillsT[Item Name],1):BillsT[[#This Row],[Item Name]],"&lt;&gt;") - 1)</f>
        <v/>
      </c>
      <c r="J211" s="18"/>
      <c r="K211" s="40">
        <f t="shared" si="3"/>
        <v>0</v>
      </c>
      <c r="L211" s="36"/>
      <c r="M211" s="36"/>
      <c r="O211" s="18"/>
    </row>
    <row r="212" spans="1:15" s="15" customFormat="1">
      <c r="A212" s="15" t="str">
        <f>IF(BillsT[[#This Row],[Item Name]]="","",
-6 + COUNTIF(INDEX(BillsT[Item Name],1):BillsT[[#This Row],[Item Name]],"&lt;&gt;") - 1)</f>
        <v/>
      </c>
      <c r="J212" s="18"/>
      <c r="K212" s="40">
        <f t="shared" si="3"/>
        <v>0</v>
      </c>
      <c r="L212" s="36"/>
      <c r="M212" s="36"/>
      <c r="O212" s="18"/>
    </row>
    <row r="213" spans="1:15" s="15" customFormat="1">
      <c r="A213" s="15" t="str">
        <f>IF(BillsT[[#This Row],[Item Name]]="","",
-6 + COUNTIF(INDEX(BillsT[Item Name],1):BillsT[[#This Row],[Item Name]],"&lt;&gt;") - 1)</f>
        <v/>
      </c>
      <c r="J213" s="18"/>
      <c r="K213" s="40">
        <f t="shared" si="3"/>
        <v>0</v>
      </c>
      <c r="L213" s="36"/>
      <c r="M213" s="36"/>
      <c r="O213" s="18"/>
    </row>
    <row r="214" spans="1:15" s="15" customFormat="1">
      <c r="A214" s="15" t="str">
        <f>IF(BillsT[[#This Row],[Item Name]]="","",
-6 + COUNTIF(INDEX(BillsT[Item Name],1):BillsT[[#This Row],[Item Name]],"&lt;&gt;") - 1)</f>
        <v/>
      </c>
      <c r="J214" s="18"/>
      <c r="K214" s="40">
        <f t="shared" si="3"/>
        <v>0</v>
      </c>
      <c r="L214" s="36"/>
      <c r="M214" s="36"/>
      <c r="O214" s="18"/>
    </row>
    <row r="215" spans="1:15" s="15" customFormat="1">
      <c r="A215" s="15" t="str">
        <f>IF(BillsT[[#This Row],[Item Name]]="","",
-6 + COUNTIF(INDEX(BillsT[Item Name],1):BillsT[[#This Row],[Item Name]],"&lt;&gt;") - 1)</f>
        <v/>
      </c>
      <c r="J215" s="18"/>
      <c r="K215" s="40">
        <f t="shared" si="3"/>
        <v>0</v>
      </c>
      <c r="L215" s="36"/>
      <c r="M215" s="36"/>
      <c r="O215" s="18"/>
    </row>
    <row r="216" spans="1:15" s="15" customFormat="1">
      <c r="A216" s="15" t="str">
        <f>IF(BillsT[[#This Row],[Item Name]]="","",
-6 + COUNTIF(INDEX(BillsT[Item Name],1):BillsT[[#This Row],[Item Name]],"&lt;&gt;") - 1)</f>
        <v/>
      </c>
      <c r="J216" s="18"/>
      <c r="K216" s="40">
        <f t="shared" si="3"/>
        <v>0</v>
      </c>
      <c r="L216" s="36"/>
      <c r="M216" s="36"/>
      <c r="O216" s="18"/>
    </row>
    <row r="217" spans="1:15" s="15" customFormat="1">
      <c r="A217" s="15" t="str">
        <f>IF(BillsT[[#This Row],[Item Name]]="","",
-6 + COUNTIF(INDEX(BillsT[Item Name],1):BillsT[[#This Row],[Item Name]],"&lt;&gt;") - 1)</f>
        <v/>
      </c>
      <c r="J217" s="18"/>
      <c r="K217" s="40">
        <f t="shared" si="3"/>
        <v>0</v>
      </c>
      <c r="L217" s="36"/>
      <c r="M217" s="36"/>
      <c r="O217" s="18"/>
    </row>
    <row r="218" spans="1:15" s="15" customFormat="1">
      <c r="A218" s="15" t="str">
        <f>IF(BillsT[[#This Row],[Item Name]]="","",
-6 + COUNTIF(INDEX(BillsT[Item Name],1):BillsT[[#This Row],[Item Name]],"&lt;&gt;") - 1)</f>
        <v/>
      </c>
      <c r="J218" s="18"/>
      <c r="K218" s="40">
        <f t="shared" si="3"/>
        <v>0</v>
      </c>
      <c r="L218" s="36"/>
      <c r="M218" s="36"/>
      <c r="O218" s="18"/>
    </row>
    <row r="219" spans="1:15" s="15" customFormat="1">
      <c r="A219" s="15" t="str">
        <f>IF(BillsT[[#This Row],[Item Name]]="","",
-6 + COUNTIF(INDEX(BillsT[Item Name],1):BillsT[[#This Row],[Item Name]],"&lt;&gt;") - 1)</f>
        <v/>
      </c>
      <c r="J219" s="18"/>
      <c r="K219" s="40">
        <f t="shared" si="3"/>
        <v>0</v>
      </c>
      <c r="L219" s="36"/>
      <c r="M219" s="36"/>
      <c r="O219" s="18"/>
    </row>
    <row r="220" spans="1:15" s="15" customFormat="1">
      <c r="A220" s="15" t="str">
        <f>IF(BillsT[[#This Row],[Item Name]]="","",
-6 + COUNTIF(INDEX(BillsT[Item Name],1):BillsT[[#This Row],[Item Name]],"&lt;&gt;") - 1)</f>
        <v/>
      </c>
      <c r="J220" s="18"/>
      <c r="K220" s="40">
        <f t="shared" si="3"/>
        <v>0</v>
      </c>
      <c r="L220" s="36"/>
      <c r="M220" s="36"/>
      <c r="O220" s="18"/>
    </row>
    <row r="221" spans="1:15" s="15" customFormat="1">
      <c r="A221" s="15" t="str">
        <f>IF(BillsT[[#This Row],[Item Name]]="","",
-6 + COUNTIF(INDEX(BillsT[Item Name],1):BillsT[[#This Row],[Item Name]],"&lt;&gt;") - 1)</f>
        <v/>
      </c>
      <c r="J221" s="18"/>
      <c r="K221" s="40">
        <f t="shared" si="3"/>
        <v>0</v>
      </c>
      <c r="L221" s="36"/>
      <c r="M221" s="36"/>
      <c r="O221" s="18"/>
    </row>
    <row r="222" spans="1:15" s="15" customFormat="1">
      <c r="A222" s="15" t="str">
        <f>IF(BillsT[[#This Row],[Item Name]]="","",
-6 + COUNTIF(INDEX(BillsT[Item Name],1):BillsT[[#This Row],[Item Name]],"&lt;&gt;") - 1)</f>
        <v/>
      </c>
      <c r="J222" s="18"/>
      <c r="K222" s="40">
        <f t="shared" si="3"/>
        <v>0</v>
      </c>
      <c r="L222" s="36"/>
      <c r="M222" s="36"/>
      <c r="O222" s="18"/>
    </row>
    <row r="223" spans="1:15" s="15" customFormat="1">
      <c r="A223" s="15" t="str">
        <f>IF(BillsT[[#This Row],[Item Name]]="","",
-6 + COUNTIF(INDEX(BillsT[Item Name],1):BillsT[[#This Row],[Item Name]],"&lt;&gt;") - 1)</f>
        <v/>
      </c>
      <c r="J223" s="18"/>
      <c r="K223" s="40">
        <f t="shared" si="3"/>
        <v>0</v>
      </c>
      <c r="L223" s="36"/>
      <c r="M223" s="36"/>
      <c r="O223" s="18"/>
    </row>
    <row r="224" spans="1:15" s="15" customFormat="1">
      <c r="A224" s="15" t="str">
        <f>IF(BillsT[[#This Row],[Item Name]]="","",
-6 + COUNTIF(INDEX(BillsT[Item Name],1):BillsT[[#This Row],[Item Name]],"&lt;&gt;") - 1)</f>
        <v/>
      </c>
      <c r="J224" s="18"/>
      <c r="K224" s="40">
        <f t="shared" si="3"/>
        <v>0</v>
      </c>
      <c r="L224" s="36"/>
      <c r="M224" s="36"/>
      <c r="O224" s="18"/>
    </row>
    <row r="225" spans="1:15" s="15" customFormat="1">
      <c r="A225" s="15" t="str">
        <f>IF(BillsT[[#This Row],[Item Name]]="","",
-6 + COUNTIF(INDEX(BillsT[Item Name],1):BillsT[[#This Row],[Item Name]],"&lt;&gt;") - 1)</f>
        <v/>
      </c>
      <c r="J225" s="18"/>
      <c r="K225" s="40">
        <f t="shared" si="3"/>
        <v>0</v>
      </c>
      <c r="L225" s="36"/>
      <c r="M225" s="36"/>
      <c r="O225" s="18"/>
    </row>
    <row r="226" spans="1:15" s="15" customFormat="1">
      <c r="A226" s="15" t="str">
        <f>IF(BillsT[[#This Row],[Item Name]]="","",
-6 + COUNTIF(INDEX(BillsT[Item Name],1):BillsT[[#This Row],[Item Name]],"&lt;&gt;") - 1)</f>
        <v/>
      </c>
      <c r="J226" s="18"/>
      <c r="K226" s="40">
        <f t="shared" si="3"/>
        <v>0</v>
      </c>
      <c r="L226" s="36"/>
      <c r="M226" s="36"/>
      <c r="O226" s="18"/>
    </row>
    <row r="227" spans="1:15" s="15" customFormat="1">
      <c r="A227" s="15" t="str">
        <f>IF(BillsT[[#This Row],[Item Name]]="","",
-6 + COUNTIF(INDEX(BillsT[Item Name],1):BillsT[[#This Row],[Item Name]],"&lt;&gt;") - 1)</f>
        <v/>
      </c>
      <c r="J227" s="18"/>
      <c r="K227" s="40">
        <f t="shared" si="3"/>
        <v>0</v>
      </c>
      <c r="L227" s="36"/>
      <c r="M227" s="36"/>
      <c r="O227" s="18"/>
    </row>
    <row r="228" spans="1:15" s="15" customFormat="1">
      <c r="A228" s="15" t="str">
        <f>IF(BillsT[[#This Row],[Item Name]]="","",
-6 + COUNTIF(INDEX(BillsT[Item Name],1):BillsT[[#This Row],[Item Name]],"&lt;&gt;") - 1)</f>
        <v/>
      </c>
      <c r="J228" s="18"/>
      <c r="K228" s="40">
        <f t="shared" si="3"/>
        <v>0</v>
      </c>
      <c r="L228" s="36"/>
      <c r="M228" s="36"/>
      <c r="O228" s="18"/>
    </row>
    <row r="229" spans="1:15" s="15" customFormat="1">
      <c r="A229" s="15" t="str">
        <f>IF(BillsT[[#This Row],[Item Name]]="","",
-6 + COUNTIF(INDEX(BillsT[Item Name],1):BillsT[[#This Row],[Item Name]],"&lt;&gt;") - 1)</f>
        <v/>
      </c>
      <c r="J229" s="18"/>
      <c r="K229" s="40">
        <f t="shared" si="3"/>
        <v>0</v>
      </c>
      <c r="L229" s="36"/>
      <c r="M229" s="36"/>
      <c r="O229" s="18"/>
    </row>
    <row r="230" spans="1:15" s="15" customFormat="1">
      <c r="A230" s="15" t="str">
        <f>IF(BillsT[[#This Row],[Item Name]]="","",
-6 + COUNTIF(INDEX(BillsT[Item Name],1):BillsT[[#This Row],[Item Name]],"&lt;&gt;") - 1)</f>
        <v/>
      </c>
      <c r="J230" s="18"/>
      <c r="K230" s="40">
        <f t="shared" si="3"/>
        <v>0</v>
      </c>
      <c r="L230" s="36"/>
      <c r="M230" s="36"/>
      <c r="O230" s="18"/>
    </row>
    <row r="231" spans="1:15" s="15" customFormat="1">
      <c r="A231" s="15" t="str">
        <f>IF(BillsT[[#This Row],[Item Name]]="","",
-6 + COUNTIF(INDEX(BillsT[Item Name],1):BillsT[[#This Row],[Item Name]],"&lt;&gt;") - 1)</f>
        <v/>
      </c>
      <c r="J231" s="18"/>
      <c r="K231" s="40">
        <f t="shared" si="3"/>
        <v>0</v>
      </c>
      <c r="L231" s="36"/>
      <c r="M231" s="36"/>
      <c r="O231" s="18"/>
    </row>
    <row r="232" spans="1:15" s="15" customFormat="1">
      <c r="A232" s="15" t="str">
        <f>IF(BillsT[[#This Row],[Item Name]]="","",
-6 + COUNTIF(INDEX(BillsT[Item Name],1):BillsT[[#This Row],[Item Name]],"&lt;&gt;") - 1)</f>
        <v/>
      </c>
      <c r="J232" s="18"/>
      <c r="K232" s="40">
        <f t="shared" si="3"/>
        <v>0</v>
      </c>
      <c r="L232" s="36"/>
      <c r="M232" s="36"/>
      <c r="O232" s="18"/>
    </row>
    <row r="233" spans="1:15" s="15" customFormat="1">
      <c r="A233" s="15" t="str">
        <f>IF(BillsT[[#This Row],[Item Name]]="","",
-6 + COUNTIF(INDEX(BillsT[Item Name],1):BillsT[[#This Row],[Item Name]],"&lt;&gt;") - 1)</f>
        <v/>
      </c>
      <c r="J233" s="18"/>
      <c r="K233" s="40">
        <f t="shared" si="3"/>
        <v>0</v>
      </c>
      <c r="L233" s="36"/>
      <c r="M233" s="36"/>
      <c r="O233" s="18"/>
    </row>
    <row r="234" spans="1:15" s="15" customFormat="1">
      <c r="A234" s="15" t="str">
        <f>IF(BillsT[[#This Row],[Item Name]]="","",
-6 + COUNTIF(INDEX(BillsT[Item Name],1):BillsT[[#This Row],[Item Name]],"&lt;&gt;") - 1)</f>
        <v/>
      </c>
      <c r="J234" s="18"/>
      <c r="K234" s="40">
        <f t="shared" si="3"/>
        <v>0</v>
      </c>
      <c r="L234" s="36"/>
      <c r="M234" s="36"/>
      <c r="O234" s="18"/>
    </row>
    <row r="235" spans="1:15" s="15" customFormat="1">
      <c r="A235" s="15" t="str">
        <f>IF(BillsT[[#This Row],[Item Name]]="","",
-6 + COUNTIF(INDEX(BillsT[Item Name],1):BillsT[[#This Row],[Item Name]],"&lt;&gt;") - 1)</f>
        <v/>
      </c>
      <c r="J235" s="18"/>
      <c r="K235" s="40">
        <f t="shared" si="3"/>
        <v>0</v>
      </c>
      <c r="L235" s="36"/>
      <c r="M235" s="36"/>
      <c r="O235" s="18"/>
    </row>
    <row r="236" spans="1:15" s="15" customFormat="1">
      <c r="A236" s="15" t="str">
        <f>IF(BillsT[[#This Row],[Item Name]]="","",
-6 + COUNTIF(INDEX(BillsT[Item Name],1):BillsT[[#This Row],[Item Name]],"&lt;&gt;") - 1)</f>
        <v/>
      </c>
      <c r="J236" s="18"/>
      <c r="K236" s="40">
        <f t="shared" si="3"/>
        <v>0</v>
      </c>
      <c r="L236" s="36"/>
      <c r="M236" s="36"/>
      <c r="O236" s="18"/>
    </row>
    <row r="237" spans="1:15" s="15" customFormat="1">
      <c r="A237" s="15" t="str">
        <f>IF(BillsT[[#This Row],[Item Name]]="","",
-6 + COUNTIF(INDEX(BillsT[Item Name],1):BillsT[[#This Row],[Item Name]],"&lt;&gt;") - 1)</f>
        <v/>
      </c>
      <c r="J237" s="18"/>
      <c r="K237" s="40">
        <f t="shared" si="3"/>
        <v>0</v>
      </c>
      <c r="L237" s="36"/>
      <c r="M237" s="36"/>
      <c r="O237" s="18"/>
    </row>
    <row r="238" spans="1:15" s="15" customFormat="1">
      <c r="A238" s="15" t="str">
        <f>IF(BillsT[[#This Row],[Item Name]]="","",
-6 + COUNTIF(INDEX(BillsT[Item Name],1):BillsT[[#This Row],[Item Name]],"&lt;&gt;") - 1)</f>
        <v/>
      </c>
      <c r="J238" s="18"/>
      <c r="K238" s="40">
        <f t="shared" si="3"/>
        <v>0</v>
      </c>
      <c r="L238" s="36"/>
      <c r="M238" s="36"/>
      <c r="O238" s="18"/>
    </row>
    <row r="239" spans="1:15" s="15" customFormat="1">
      <c r="A239" s="15" t="str">
        <f>IF(BillsT[[#This Row],[Item Name]]="","",
-6 + COUNTIF(INDEX(BillsT[Item Name],1):BillsT[[#This Row],[Item Name]],"&lt;&gt;") - 1)</f>
        <v/>
      </c>
      <c r="J239" s="18"/>
      <c r="K239" s="40">
        <f t="shared" si="3"/>
        <v>0</v>
      </c>
      <c r="L239" s="36"/>
      <c r="M239" s="36"/>
      <c r="O239" s="18"/>
    </row>
    <row r="240" spans="1:15" s="15" customFormat="1">
      <c r="A240" s="15" t="str">
        <f>IF(BillsT[[#This Row],[Item Name]]="","",
-6 + COUNTIF(INDEX(BillsT[Item Name],1):BillsT[[#This Row],[Item Name]],"&lt;&gt;") - 1)</f>
        <v/>
      </c>
      <c r="J240" s="18"/>
      <c r="K240" s="40">
        <f t="shared" si="3"/>
        <v>0</v>
      </c>
      <c r="L240" s="36"/>
      <c r="O240" s="18"/>
    </row>
    <row r="241" spans="1:15" s="15" customFormat="1">
      <c r="A241" s="15" t="str">
        <f>IF(BillsT[[#This Row],[Item Name]]="","",
-6 + COUNTIF(INDEX(BillsT[Item Name],1):BillsT[[#This Row],[Item Name]],"&lt;&gt;") - 1)</f>
        <v/>
      </c>
      <c r="J241" s="18"/>
      <c r="K241" s="40">
        <f t="shared" si="3"/>
        <v>0</v>
      </c>
      <c r="L241" s="36"/>
      <c r="O241" s="18"/>
    </row>
    <row r="242" spans="1:15" s="15" customFormat="1">
      <c r="A242" s="15" t="str">
        <f>IF(BillsT[[#This Row],[Item Name]]="","",
-6 + COUNTIF(INDEX(BillsT[Item Name],1):BillsT[[#This Row],[Item Name]],"&lt;&gt;") - 1)</f>
        <v/>
      </c>
      <c r="J242" s="18"/>
      <c r="K242" s="40">
        <f t="shared" si="3"/>
        <v>0</v>
      </c>
      <c r="L242" s="36"/>
      <c r="O242" s="18"/>
    </row>
    <row r="243" spans="1:15" s="15" customFormat="1">
      <c r="A243" s="15" t="str">
        <f>IF(BillsT[[#This Row],[Item Name]]="","",
-6 + COUNTIF(INDEX(BillsT[Item Name],1):BillsT[[#This Row],[Item Name]],"&lt;&gt;") - 1)</f>
        <v/>
      </c>
      <c r="J243" s="18"/>
      <c r="K243" s="40">
        <f t="shared" si="3"/>
        <v>0</v>
      </c>
      <c r="L243" s="36"/>
      <c r="M243" s="36"/>
      <c r="O243" s="18"/>
    </row>
    <row r="244" spans="1:15" s="15" customFormat="1">
      <c r="A244" s="15" t="str">
        <f>IF(BillsT[[#This Row],[Item Name]]="","",
-6 + COUNTIF(INDEX(BillsT[Item Name],1):BillsT[[#This Row],[Item Name]],"&lt;&gt;") - 1)</f>
        <v/>
      </c>
      <c r="J244" s="18"/>
      <c r="K244" s="40">
        <f t="shared" si="3"/>
        <v>0</v>
      </c>
      <c r="L244" s="36"/>
      <c r="M244" s="36"/>
      <c r="O244" s="18"/>
    </row>
    <row r="245" spans="1:15" s="15" customFormat="1">
      <c r="A245" s="15" t="str">
        <f>IF(BillsT[[#This Row],[Item Name]]="","",
-6 + COUNTIF(INDEX(BillsT[Item Name],1):BillsT[[#This Row],[Item Name]],"&lt;&gt;") - 1)</f>
        <v/>
      </c>
      <c r="J245" s="18"/>
      <c r="K245" s="40">
        <f t="shared" si="3"/>
        <v>0</v>
      </c>
      <c r="L245" s="36"/>
      <c r="M245" s="36"/>
      <c r="O245" s="18"/>
    </row>
    <row r="246" spans="1:15" s="15" customFormat="1">
      <c r="A246" s="15" t="str">
        <f>IF(BillsT[[#This Row],[Item Name]]="","",
-6 + COUNTIF(INDEX(BillsT[Item Name],1):BillsT[[#This Row],[Item Name]],"&lt;&gt;") - 1)</f>
        <v/>
      </c>
      <c r="J246" s="18"/>
      <c r="K246" s="40">
        <f t="shared" si="3"/>
        <v>0</v>
      </c>
      <c r="L246" s="36"/>
      <c r="M246" s="36"/>
      <c r="O246" s="18"/>
    </row>
    <row r="247" spans="1:15" s="15" customFormat="1">
      <c r="A247" s="15" t="str">
        <f>IF(BillsT[[#This Row],[Item Name]]="","",
-6 + COUNTIF(INDEX(BillsT[Item Name],1):BillsT[[#This Row],[Item Name]],"&lt;&gt;") - 1)</f>
        <v/>
      </c>
      <c r="J247" s="18"/>
      <c r="K247" s="40">
        <f t="shared" si="3"/>
        <v>0</v>
      </c>
      <c r="L247" s="36"/>
      <c r="M247" s="36"/>
      <c r="O247" s="18"/>
    </row>
    <row r="248" spans="1:15" s="15" customFormat="1">
      <c r="A248" s="15" t="str">
        <f>IF(BillsT[[#This Row],[Item Name]]="","",
-6 + COUNTIF(INDEX(BillsT[Item Name],1):BillsT[[#This Row],[Item Name]],"&lt;&gt;") - 1)</f>
        <v/>
      </c>
      <c r="J248" s="18"/>
      <c r="K248" s="40">
        <f t="shared" si="3"/>
        <v>0</v>
      </c>
      <c r="L248" s="36"/>
      <c r="M248" s="36"/>
      <c r="O248" s="18"/>
    </row>
    <row r="249" spans="1:15" s="15" customFormat="1">
      <c r="A249" s="15" t="str">
        <f>IF(BillsT[[#This Row],[Item Name]]="","",
-6 + COUNTIF(INDEX(BillsT[Item Name],1):BillsT[[#This Row],[Item Name]],"&lt;&gt;") - 1)</f>
        <v/>
      </c>
      <c r="J249" s="18"/>
      <c r="K249" s="40">
        <f t="shared" si="3"/>
        <v>0</v>
      </c>
      <c r="L249" s="36"/>
      <c r="M249" s="36"/>
      <c r="O249" s="18"/>
    </row>
    <row r="250" spans="1:15" s="15" customFormat="1">
      <c r="A250" s="15" t="str">
        <f>IF(BillsT[[#This Row],[Item Name]]="","",
-6 + COUNTIF(INDEX(BillsT[Item Name],1):BillsT[[#This Row],[Item Name]],"&lt;&gt;") - 1)</f>
        <v/>
      </c>
      <c r="J250" s="18"/>
      <c r="K250" s="40">
        <f t="shared" si="3"/>
        <v>0</v>
      </c>
      <c r="L250" s="36"/>
      <c r="M250" s="36"/>
      <c r="O250" s="18"/>
    </row>
    <row r="251" spans="1:15" s="15" customFormat="1">
      <c r="A251" s="15" t="str">
        <f>IF(BillsT[[#This Row],[Item Name]]="","",
-6 + COUNTIF(INDEX(BillsT[Item Name],1):BillsT[[#This Row],[Item Name]],"&lt;&gt;") - 1)</f>
        <v/>
      </c>
      <c r="C251" s="46"/>
      <c r="J251" s="18"/>
      <c r="K251" s="40">
        <f t="shared" si="3"/>
        <v>0</v>
      </c>
      <c r="L251" s="36"/>
      <c r="M251" s="36"/>
      <c r="O251" s="18"/>
    </row>
    <row r="252" spans="1:15" s="15" customFormat="1">
      <c r="A252" s="15" t="str">
        <f>IF(BillsT[[#This Row],[Item Name]]="","",
-6 + COUNTIF(INDEX(BillsT[Item Name],1):BillsT[[#This Row],[Item Name]],"&lt;&gt;") - 1)</f>
        <v/>
      </c>
      <c r="C252" s="46"/>
      <c r="J252" s="18"/>
      <c r="K252" s="40">
        <f t="shared" si="3"/>
        <v>0</v>
      </c>
      <c r="L252" s="36"/>
      <c r="M252" s="36"/>
      <c r="O252" s="18"/>
    </row>
    <row r="253" spans="1:15" s="15" customFormat="1">
      <c r="A253" s="15" t="str">
        <f>IF(BillsT[[#This Row],[Item Name]]="","",
-6 + COUNTIF(INDEX(BillsT[Item Name],1):BillsT[[#This Row],[Item Name]],"&lt;&gt;") - 1)</f>
        <v/>
      </c>
      <c r="C253" s="46"/>
      <c r="J253" s="18"/>
      <c r="K253" s="40">
        <f t="shared" si="3"/>
        <v>0</v>
      </c>
      <c r="L253" s="36"/>
      <c r="M253" s="36"/>
      <c r="O253" s="18"/>
    </row>
    <row r="254" spans="1:15" s="15" customFormat="1">
      <c r="A254" s="15" t="str">
        <f>IF(BillsT[[#This Row],[Item Name]]="","",
-6 + COUNTIF(INDEX(BillsT[Item Name],1):BillsT[[#This Row],[Item Name]],"&lt;&gt;") - 1)</f>
        <v/>
      </c>
      <c r="C254" s="46"/>
      <c r="J254" s="18"/>
      <c r="K254" s="40">
        <f t="shared" si="3"/>
        <v>0</v>
      </c>
      <c r="L254" s="36"/>
      <c r="O254" s="18"/>
    </row>
    <row r="255" spans="1:15" s="15" customFormat="1">
      <c r="A255" s="15" t="str">
        <f>IF(BillsT[[#This Row],[Item Name]]="","",
-6 + COUNTIF(INDEX(BillsT[Item Name],1):BillsT[[#This Row],[Item Name]],"&lt;&gt;") - 1)</f>
        <v/>
      </c>
      <c r="C255" s="46"/>
      <c r="J255" s="18"/>
      <c r="K255" s="40">
        <f t="shared" si="3"/>
        <v>0</v>
      </c>
      <c r="L255" s="36"/>
      <c r="O255" s="18"/>
    </row>
    <row r="256" spans="1:15" s="15" customFormat="1">
      <c r="A256" s="15" t="str">
        <f>IF(BillsT[[#This Row],[Item Name]]="","",
-6 + COUNTIF(INDEX(BillsT[Item Name],1):BillsT[[#This Row],[Item Name]],"&lt;&gt;") - 1)</f>
        <v/>
      </c>
      <c r="C256" s="46"/>
      <c r="J256" s="18"/>
      <c r="K256" s="40">
        <f t="shared" si="3"/>
        <v>0</v>
      </c>
      <c r="L256" s="36"/>
      <c r="M256" s="36"/>
      <c r="O256" s="18"/>
    </row>
    <row r="257" spans="1:15" s="15" customFormat="1">
      <c r="A257" s="15" t="str">
        <f>IF(BillsT[[#This Row],[Item Name]]="","",
-6 + COUNTIF(INDEX(BillsT[Item Name],1):BillsT[[#This Row],[Item Name]],"&lt;&gt;") - 1)</f>
        <v/>
      </c>
      <c r="C257" s="46"/>
      <c r="J257" s="18"/>
      <c r="K257" s="40">
        <f t="shared" si="3"/>
        <v>0</v>
      </c>
      <c r="L257" s="36"/>
      <c r="M257" s="36"/>
      <c r="O257" s="18"/>
    </row>
    <row r="258" spans="1:15" s="15" customFormat="1">
      <c r="A258" s="15" t="str">
        <f>IF(BillsT[[#This Row],[Item Name]]="","",
-6 + COUNTIF(INDEX(BillsT[Item Name],1):BillsT[[#This Row],[Item Name]],"&lt;&gt;") - 1)</f>
        <v/>
      </c>
      <c r="C258" s="46"/>
      <c r="J258" s="18"/>
      <c r="K258" s="40">
        <f t="shared" si="3"/>
        <v>0</v>
      </c>
      <c r="L258" s="36"/>
      <c r="M258" s="36"/>
      <c r="O258" s="18"/>
    </row>
    <row r="259" spans="1:15" s="15" customFormat="1">
      <c r="A259" s="15" t="str">
        <f>IF(BillsT[[#This Row],[Item Name]]="","",
-6 + COUNTIF(INDEX(BillsT[Item Name],1):BillsT[[#This Row],[Item Name]],"&lt;&gt;") - 1)</f>
        <v/>
      </c>
      <c r="C259" s="46"/>
      <c r="J259" s="18"/>
      <c r="K259" s="40">
        <f t="shared" ref="K259:K322" si="4">J259*I259</f>
        <v>0</v>
      </c>
      <c r="L259" s="36"/>
      <c r="M259" s="36"/>
      <c r="O259" s="18"/>
    </row>
    <row r="260" spans="1:15" s="15" customFormat="1">
      <c r="A260" s="15" t="str">
        <f>IF(BillsT[[#This Row],[Item Name]]="","",
-6 + COUNTIF(INDEX(BillsT[Item Name],1):BillsT[[#This Row],[Item Name]],"&lt;&gt;") - 1)</f>
        <v/>
      </c>
      <c r="C260" s="46"/>
      <c r="J260" s="18"/>
      <c r="K260" s="40">
        <f t="shared" si="4"/>
        <v>0</v>
      </c>
      <c r="L260" s="36"/>
      <c r="M260" s="36"/>
      <c r="O260" s="18"/>
    </row>
    <row r="261" spans="1:15" s="15" customFormat="1">
      <c r="A261" s="15" t="str">
        <f>IF(BillsT[[#This Row],[Item Name]]="","",
-6 + COUNTIF(INDEX(BillsT[Item Name],1):BillsT[[#This Row],[Item Name]],"&lt;&gt;") - 1)</f>
        <v/>
      </c>
      <c r="C261" s="46"/>
      <c r="J261" s="18"/>
      <c r="K261" s="40">
        <f t="shared" si="4"/>
        <v>0</v>
      </c>
      <c r="L261" s="36"/>
      <c r="M261" s="36"/>
      <c r="O261" s="18"/>
    </row>
    <row r="262" spans="1:15" s="15" customFormat="1">
      <c r="A262" s="15" t="str">
        <f>IF(BillsT[[#This Row],[Item Name]]="","",
-6 + COUNTIF(INDEX(BillsT[Item Name],1):BillsT[[#This Row],[Item Name]],"&lt;&gt;") - 1)</f>
        <v/>
      </c>
      <c r="C262" s="46"/>
      <c r="J262" s="18"/>
      <c r="K262" s="40">
        <f t="shared" si="4"/>
        <v>0</v>
      </c>
      <c r="L262" s="36"/>
      <c r="M262" s="36"/>
      <c r="O262" s="18"/>
    </row>
    <row r="263" spans="1:15" s="15" customFormat="1">
      <c r="A263" s="15" t="str">
        <f>IF(BillsT[[#This Row],[Item Name]]="","",
-6 + COUNTIF(INDEX(BillsT[Item Name],1):BillsT[[#This Row],[Item Name]],"&lt;&gt;") - 1)</f>
        <v/>
      </c>
      <c r="C263" s="46"/>
      <c r="J263" s="18"/>
      <c r="K263" s="40">
        <f t="shared" si="4"/>
        <v>0</v>
      </c>
      <c r="L263" s="36"/>
      <c r="M263" s="36"/>
      <c r="O263" s="18"/>
    </row>
    <row r="264" spans="1:15" s="15" customFormat="1">
      <c r="A264" s="15" t="str">
        <f>IF(BillsT[[#This Row],[Item Name]]="","",
-6 + COUNTIF(INDEX(BillsT[Item Name],1):BillsT[[#This Row],[Item Name]],"&lt;&gt;") - 1)</f>
        <v/>
      </c>
      <c r="C264" s="46"/>
      <c r="J264" s="18"/>
      <c r="K264" s="40">
        <f t="shared" si="4"/>
        <v>0</v>
      </c>
      <c r="L264" s="36"/>
      <c r="M264" s="36"/>
      <c r="O264" s="18"/>
    </row>
    <row r="265" spans="1:15" s="15" customFormat="1">
      <c r="A265" s="15" t="str">
        <f>IF(BillsT[[#This Row],[Item Name]]="","",
-6 + COUNTIF(INDEX(BillsT[Item Name],1):BillsT[[#This Row],[Item Name]],"&lt;&gt;") - 1)</f>
        <v/>
      </c>
      <c r="C265" s="46"/>
      <c r="J265" s="18"/>
      <c r="K265" s="40">
        <f t="shared" si="4"/>
        <v>0</v>
      </c>
      <c r="L265" s="36"/>
      <c r="M265" s="36"/>
      <c r="O265" s="18"/>
    </row>
    <row r="266" spans="1:15" s="15" customFormat="1">
      <c r="A266" s="15" t="str">
        <f>IF(BillsT[[#This Row],[Item Name]]="","",
-6 + COUNTIF(INDEX(BillsT[Item Name],1):BillsT[[#This Row],[Item Name]],"&lt;&gt;") - 1)</f>
        <v/>
      </c>
      <c r="C266" s="46"/>
      <c r="J266" s="18"/>
      <c r="K266" s="40">
        <f t="shared" si="4"/>
        <v>0</v>
      </c>
      <c r="L266" s="36"/>
      <c r="M266" s="36"/>
      <c r="O266" s="18"/>
    </row>
    <row r="267" spans="1:15" s="15" customFormat="1">
      <c r="A267" s="15" t="str">
        <f>IF(BillsT[[#This Row],[Item Name]]="","",
-6 + COUNTIF(INDEX(BillsT[Item Name],1):BillsT[[#This Row],[Item Name]],"&lt;&gt;") - 1)</f>
        <v/>
      </c>
      <c r="C267" s="46"/>
      <c r="J267" s="18"/>
      <c r="K267" s="40">
        <f t="shared" si="4"/>
        <v>0</v>
      </c>
      <c r="L267" s="36"/>
      <c r="M267" s="36"/>
      <c r="O267" s="18"/>
    </row>
    <row r="268" spans="1:15" s="15" customFormat="1">
      <c r="A268" s="15" t="str">
        <f>IF(BillsT[[#This Row],[Item Name]]="","",
-6 + COUNTIF(INDEX(BillsT[Item Name],1):BillsT[[#This Row],[Item Name]],"&lt;&gt;") - 1)</f>
        <v/>
      </c>
      <c r="C268" s="46"/>
      <c r="J268" s="18"/>
      <c r="K268" s="40">
        <f t="shared" si="4"/>
        <v>0</v>
      </c>
      <c r="L268" s="36"/>
      <c r="M268" s="36"/>
      <c r="O268" s="18"/>
    </row>
    <row r="269" spans="1:15" s="15" customFormat="1">
      <c r="A269" s="15" t="str">
        <f>IF(BillsT[[#This Row],[Item Name]]="","",
-6 + COUNTIF(INDEX(BillsT[Item Name],1):BillsT[[#This Row],[Item Name]],"&lt;&gt;") - 1)</f>
        <v/>
      </c>
      <c r="C269" s="46"/>
      <c r="J269" s="18"/>
      <c r="K269" s="40">
        <f t="shared" si="4"/>
        <v>0</v>
      </c>
      <c r="L269" s="36"/>
      <c r="M269" s="36"/>
      <c r="O269" s="18"/>
    </row>
    <row r="270" spans="1:15" s="15" customFormat="1">
      <c r="A270" s="15" t="str">
        <f>IF(BillsT[[#This Row],[Item Name]]="","",
-6 + COUNTIF(INDEX(BillsT[Item Name],1):BillsT[[#This Row],[Item Name]],"&lt;&gt;") - 1)</f>
        <v/>
      </c>
      <c r="C270" s="46"/>
      <c r="J270" s="18"/>
      <c r="K270" s="40">
        <f t="shared" si="4"/>
        <v>0</v>
      </c>
      <c r="M270" s="36"/>
      <c r="O270" s="18"/>
    </row>
    <row r="271" spans="1:15" s="15" customFormat="1">
      <c r="A271" s="15" t="str">
        <f>IF(BillsT[[#This Row],[Item Name]]="","",
-6 + COUNTIF(INDEX(BillsT[Item Name],1):BillsT[[#This Row],[Item Name]],"&lt;&gt;") - 1)</f>
        <v/>
      </c>
      <c r="C271" s="46"/>
      <c r="J271" s="18"/>
      <c r="K271" s="40">
        <f t="shared" si="4"/>
        <v>0</v>
      </c>
      <c r="M271" s="36"/>
      <c r="O271" s="18"/>
    </row>
    <row r="272" spans="1:15" s="15" customFormat="1">
      <c r="A272" s="15" t="str">
        <f>IF(BillsT[[#This Row],[Item Name]]="","",
-6 + COUNTIF(INDEX(BillsT[Item Name],1):BillsT[[#This Row],[Item Name]],"&lt;&gt;") - 1)</f>
        <v/>
      </c>
      <c r="C272" s="46"/>
      <c r="J272" s="18"/>
      <c r="K272" s="40">
        <f t="shared" si="4"/>
        <v>0</v>
      </c>
      <c r="L272" s="47"/>
      <c r="M272" s="36"/>
      <c r="O272" s="18"/>
    </row>
    <row r="273" spans="1:15" s="15" customFormat="1">
      <c r="A273" s="15" t="str">
        <f>IF(BillsT[[#This Row],[Item Name]]="","",
-6 + COUNTIF(INDEX(BillsT[Item Name],1):BillsT[[#This Row],[Item Name]],"&lt;&gt;") - 1)</f>
        <v/>
      </c>
      <c r="C273" s="46"/>
      <c r="J273" s="18"/>
      <c r="K273" s="40">
        <f t="shared" si="4"/>
        <v>0</v>
      </c>
      <c r="L273" s="36"/>
      <c r="M273" s="36"/>
      <c r="O273" s="18"/>
    </row>
    <row r="274" spans="1:15" s="15" customFormat="1">
      <c r="A274" s="15" t="str">
        <f>IF(BillsT[[#This Row],[Item Name]]="","",
-6 + COUNTIF(INDEX(BillsT[Item Name],1):BillsT[[#This Row],[Item Name]],"&lt;&gt;") - 1)</f>
        <v/>
      </c>
      <c r="C274" s="46"/>
      <c r="J274" s="18"/>
      <c r="K274" s="40">
        <f t="shared" si="4"/>
        <v>0</v>
      </c>
      <c r="L274" s="36"/>
      <c r="M274" s="36"/>
      <c r="O274" s="18"/>
    </row>
    <row r="275" spans="1:15" s="15" customFormat="1">
      <c r="A275" s="15" t="str">
        <f>IF(BillsT[[#This Row],[Item Name]]="","",
-6 + COUNTIF(INDEX(BillsT[Item Name],1):BillsT[[#This Row],[Item Name]],"&lt;&gt;") - 1)</f>
        <v/>
      </c>
      <c r="C275" s="46"/>
      <c r="J275" s="18"/>
      <c r="K275" s="40">
        <f t="shared" si="4"/>
        <v>0</v>
      </c>
      <c r="M275" s="36"/>
      <c r="O275" s="18"/>
    </row>
    <row r="276" spans="1:15" s="15" customFormat="1">
      <c r="A276" s="15" t="str">
        <f>IF(BillsT[[#This Row],[Item Name]]="","",
-6 + COUNTIF(INDEX(BillsT[Item Name],1):BillsT[[#This Row],[Item Name]],"&lt;&gt;") - 1)</f>
        <v/>
      </c>
      <c r="C276" s="46"/>
      <c r="J276" s="18"/>
      <c r="K276" s="40">
        <f t="shared" si="4"/>
        <v>0</v>
      </c>
      <c r="L276" s="36"/>
      <c r="M276" s="36"/>
      <c r="O276" s="18"/>
    </row>
    <row r="277" spans="1:15" s="15" customFormat="1">
      <c r="A277" s="15" t="str">
        <f>IF(BillsT[[#This Row],[Item Name]]="","",
-6 + COUNTIF(INDEX(BillsT[Item Name],1):BillsT[[#This Row],[Item Name]],"&lt;&gt;") - 1)</f>
        <v/>
      </c>
      <c r="C277" s="46"/>
      <c r="J277" s="18"/>
      <c r="K277" s="40">
        <f t="shared" si="4"/>
        <v>0</v>
      </c>
      <c r="L277" s="36"/>
      <c r="M277" s="36"/>
      <c r="O277" s="18"/>
    </row>
    <row r="278" spans="1:15" s="15" customFormat="1">
      <c r="A278" s="15" t="str">
        <f>IF(BillsT[[#This Row],[Item Name]]="","",
-6 + COUNTIF(INDEX(BillsT[Item Name],1):BillsT[[#This Row],[Item Name]],"&lt;&gt;") - 1)</f>
        <v/>
      </c>
      <c r="C278" s="46"/>
      <c r="J278" s="18"/>
      <c r="K278" s="40">
        <f t="shared" si="4"/>
        <v>0</v>
      </c>
      <c r="L278" s="36"/>
      <c r="M278" s="36"/>
      <c r="O278" s="18"/>
    </row>
    <row r="279" spans="1:15" s="15" customFormat="1">
      <c r="A279" s="15" t="str">
        <f>IF(BillsT[[#This Row],[Item Name]]="","",
-6 + COUNTIF(INDEX(BillsT[Item Name],1):BillsT[[#This Row],[Item Name]],"&lt;&gt;") - 1)</f>
        <v/>
      </c>
      <c r="C279" s="46"/>
      <c r="J279" s="18"/>
      <c r="K279" s="40">
        <f t="shared" si="4"/>
        <v>0</v>
      </c>
      <c r="L279" s="36"/>
      <c r="M279" s="36"/>
      <c r="O279" s="18"/>
    </row>
    <row r="280" spans="1:15" s="15" customFormat="1">
      <c r="A280" s="15" t="str">
        <f>IF(BillsT[[#This Row],[Item Name]]="","",
-6 + COUNTIF(INDEX(BillsT[Item Name],1):BillsT[[#This Row],[Item Name]],"&lt;&gt;") - 1)</f>
        <v/>
      </c>
      <c r="C280" s="46"/>
      <c r="J280" s="18"/>
      <c r="K280" s="40">
        <f t="shared" si="4"/>
        <v>0</v>
      </c>
      <c r="L280" s="36"/>
      <c r="M280" s="36"/>
      <c r="O280" s="18"/>
    </row>
    <row r="281" spans="1:15" s="15" customFormat="1">
      <c r="A281" s="15" t="str">
        <f>IF(BillsT[[#This Row],[Item Name]]="","",
-6 + COUNTIF(INDEX(BillsT[Item Name],1):BillsT[[#This Row],[Item Name]],"&lt;&gt;") - 1)</f>
        <v/>
      </c>
      <c r="C281" s="46"/>
      <c r="J281" s="18"/>
      <c r="K281" s="40">
        <f t="shared" si="4"/>
        <v>0</v>
      </c>
      <c r="L281" s="36"/>
      <c r="M281" s="36"/>
      <c r="O281" s="18"/>
    </row>
    <row r="282" spans="1:15" s="15" customFormat="1">
      <c r="A282" s="15" t="str">
        <f>IF(BillsT[[#This Row],[Item Name]]="","",
-6 + COUNTIF(INDEX(BillsT[Item Name],1):BillsT[[#This Row],[Item Name]],"&lt;&gt;") - 1)</f>
        <v/>
      </c>
      <c r="C282" s="46"/>
      <c r="J282" s="18"/>
      <c r="K282" s="40">
        <f t="shared" si="4"/>
        <v>0</v>
      </c>
      <c r="L282" s="36"/>
      <c r="M282" s="36"/>
      <c r="O282" s="18"/>
    </row>
    <row r="283" spans="1:15" s="15" customFormat="1">
      <c r="A283" s="15" t="str">
        <f>IF(BillsT[[#This Row],[Item Name]]="","",
-6 + COUNTIF(INDEX(BillsT[Item Name],1):BillsT[[#This Row],[Item Name]],"&lt;&gt;") - 1)</f>
        <v/>
      </c>
      <c r="C283" s="46"/>
      <c r="J283" s="18"/>
      <c r="K283" s="40">
        <f t="shared" si="4"/>
        <v>0</v>
      </c>
      <c r="L283" s="36"/>
      <c r="M283" s="36"/>
      <c r="O283" s="18"/>
    </row>
    <row r="284" spans="1:15" s="15" customFormat="1">
      <c r="A284" s="15" t="str">
        <f>IF(BillsT[[#This Row],[Item Name]]="","",
-6 + COUNTIF(INDEX(BillsT[Item Name],1):BillsT[[#This Row],[Item Name]],"&lt;&gt;") - 1)</f>
        <v/>
      </c>
      <c r="C284" s="46"/>
      <c r="J284" s="18"/>
      <c r="K284" s="40">
        <f t="shared" si="4"/>
        <v>0</v>
      </c>
      <c r="L284" s="36"/>
      <c r="M284" s="36"/>
      <c r="O284" s="18"/>
    </row>
    <row r="285" spans="1:15" s="15" customFormat="1">
      <c r="A285" s="15" t="str">
        <f>IF(BillsT[[#This Row],[Item Name]]="","",
-6 + COUNTIF(INDEX(BillsT[Item Name],1):BillsT[[#This Row],[Item Name]],"&lt;&gt;") - 1)</f>
        <v/>
      </c>
      <c r="C285" s="46"/>
      <c r="J285" s="18"/>
      <c r="K285" s="40">
        <f t="shared" si="4"/>
        <v>0</v>
      </c>
      <c r="L285" s="36"/>
      <c r="M285" s="36"/>
      <c r="O285" s="18"/>
    </row>
    <row r="286" spans="1:15" s="15" customFormat="1">
      <c r="A286" s="15" t="str">
        <f>IF(BillsT[[#This Row],[Item Name]]="","",
-6 + COUNTIF(INDEX(BillsT[Item Name],1):BillsT[[#This Row],[Item Name]],"&lt;&gt;") - 1)</f>
        <v/>
      </c>
      <c r="C286" s="46"/>
      <c r="J286" s="18"/>
      <c r="K286" s="40">
        <f t="shared" si="4"/>
        <v>0</v>
      </c>
      <c r="L286" s="36"/>
      <c r="M286" s="36"/>
      <c r="O286" s="18"/>
    </row>
    <row r="287" spans="1:15" s="15" customFormat="1">
      <c r="A287" s="15" t="str">
        <f>IF(BillsT[[#This Row],[Item Name]]="","",
-6 + COUNTIF(INDEX(BillsT[Item Name],1):BillsT[[#This Row],[Item Name]],"&lt;&gt;") - 1)</f>
        <v/>
      </c>
      <c r="J287" s="18"/>
      <c r="K287" s="40">
        <f t="shared" si="4"/>
        <v>0</v>
      </c>
      <c r="L287" s="36"/>
      <c r="M287" s="36"/>
      <c r="O287" s="18"/>
    </row>
    <row r="288" spans="1:15" s="15" customFormat="1">
      <c r="A288" s="15" t="str">
        <f>IF(BillsT[[#This Row],[Item Name]]="","",
-6 + COUNTIF(INDEX(BillsT[Item Name],1):BillsT[[#This Row],[Item Name]],"&lt;&gt;") - 1)</f>
        <v/>
      </c>
      <c r="J288" s="18"/>
      <c r="K288" s="40">
        <f t="shared" si="4"/>
        <v>0</v>
      </c>
      <c r="L288" s="36"/>
      <c r="M288" s="36"/>
      <c r="O288" s="18"/>
    </row>
    <row r="289" spans="1:16" s="15" customFormat="1">
      <c r="A289" s="15" t="str">
        <f>IF(BillsT[[#This Row],[Item Name]]="","",
-6 + COUNTIF(INDEX(BillsT[Item Name],1):BillsT[[#This Row],[Item Name]],"&lt;&gt;") - 1)</f>
        <v/>
      </c>
      <c r="H289" s="35"/>
      <c r="J289" s="18"/>
      <c r="K289" s="40">
        <f t="shared" si="4"/>
        <v>0</v>
      </c>
      <c r="L289" s="36"/>
      <c r="M289" s="36"/>
      <c r="O289" s="18"/>
    </row>
    <row r="290" spans="1:16" s="15" customFormat="1">
      <c r="A290" s="15" t="str">
        <f>IF(BillsT[[#This Row],[Item Name]]="","",
-6 + COUNTIF(INDEX(BillsT[Item Name],1):BillsT[[#This Row],[Item Name]],"&lt;&gt;") - 1)</f>
        <v/>
      </c>
      <c r="H290" s="35"/>
      <c r="J290" s="18"/>
      <c r="K290" s="40">
        <f t="shared" si="4"/>
        <v>0</v>
      </c>
      <c r="L290" s="36"/>
      <c r="M290" s="36"/>
      <c r="O290" s="18"/>
    </row>
    <row r="291" spans="1:16" s="15" customFormat="1">
      <c r="A291" s="15" t="str">
        <f>IF(BillsT[[#This Row],[Item Name]]="","",
-6 + COUNTIF(INDEX(BillsT[Item Name],1):BillsT[[#This Row],[Item Name]],"&lt;&gt;") - 1)</f>
        <v/>
      </c>
      <c r="J291" s="18"/>
      <c r="K291" s="40">
        <f t="shared" si="4"/>
        <v>0</v>
      </c>
      <c r="L291" s="36"/>
      <c r="M291" s="36"/>
      <c r="O291" s="18"/>
    </row>
    <row r="292" spans="1:16" s="15" customFormat="1">
      <c r="A292" s="15" t="str">
        <f>IF(BillsT[[#This Row],[Item Name]]="","",
-6 + COUNTIF(INDEX(BillsT[Item Name],1):BillsT[[#This Row],[Item Name]],"&lt;&gt;") - 1)</f>
        <v/>
      </c>
      <c r="J292" s="18"/>
      <c r="K292" s="40">
        <f t="shared" si="4"/>
        <v>0</v>
      </c>
      <c r="L292" s="36"/>
      <c r="M292" s="36"/>
      <c r="O292" s="18"/>
      <c r="P292" s="18" t="str">
        <f>IF(BillsT[[#This Row],[Bill No.]]="","",(BillsT[[#This Row],[Link]] - SUMIFS(OrderT[Cost Overrun], OrderT[Bill No.], BillsT[[#This Row],[Bill No.]])))</f>
        <v/>
      </c>
    </row>
    <row r="293" spans="1:16" s="15" customFormat="1">
      <c r="A293" s="15" t="str">
        <f>IF(BillsT[[#This Row],[Item Name]]="","",
-6 + COUNTIF(INDEX(BillsT[Item Name],1):BillsT[[#This Row],[Item Name]],"&lt;&gt;") - 1)</f>
        <v/>
      </c>
      <c r="J293" s="18"/>
      <c r="K293" s="40">
        <f t="shared" si="4"/>
        <v>0</v>
      </c>
      <c r="L293" s="36"/>
      <c r="M293" s="36"/>
      <c r="O293" s="18"/>
    </row>
    <row r="294" spans="1:16" s="15" customFormat="1">
      <c r="A294" s="15" t="str">
        <f>IF(BillsT[[#This Row],[Item Name]]="","",
-6 + COUNTIF(INDEX(BillsT[Item Name],1):BillsT[[#This Row],[Item Name]],"&lt;&gt;") - 1)</f>
        <v/>
      </c>
      <c r="J294" s="18"/>
      <c r="K294" s="40">
        <f t="shared" si="4"/>
        <v>0</v>
      </c>
      <c r="L294" s="36"/>
      <c r="M294" s="36"/>
      <c r="O294" s="18"/>
    </row>
    <row r="295" spans="1:16" s="15" customFormat="1">
      <c r="A295" s="15" t="str">
        <f>IF(BillsT[[#This Row],[Item Name]]="","",
-6 + COUNTIF(INDEX(BillsT[Item Name],1):BillsT[[#This Row],[Item Name]],"&lt;&gt;") - 1)</f>
        <v/>
      </c>
      <c r="J295" s="18"/>
      <c r="K295" s="40">
        <f t="shared" si="4"/>
        <v>0</v>
      </c>
      <c r="L295" s="36"/>
      <c r="M295" s="36"/>
      <c r="O295" s="18"/>
    </row>
    <row r="296" spans="1:16" s="15" customFormat="1">
      <c r="A296" s="15" t="str">
        <f>IF(BillsT[[#This Row],[Item Name]]="","",
-6 + COUNTIF(INDEX(BillsT[Item Name],1):BillsT[[#This Row],[Item Name]],"&lt;&gt;") - 1)</f>
        <v/>
      </c>
      <c r="J296" s="18"/>
      <c r="K296" s="40">
        <f t="shared" si="4"/>
        <v>0</v>
      </c>
      <c r="L296" s="36"/>
      <c r="M296" s="36"/>
      <c r="O296" s="18"/>
    </row>
    <row r="297" spans="1:16" s="15" customFormat="1">
      <c r="A297" s="15" t="str">
        <f>IF(BillsT[[#This Row],[Item Name]]="","",
-6 + COUNTIF(INDEX(BillsT[Item Name],1):BillsT[[#This Row],[Item Name]],"&lt;&gt;") - 1)</f>
        <v/>
      </c>
      <c r="J297" s="18"/>
      <c r="K297" s="40">
        <f t="shared" si="4"/>
        <v>0</v>
      </c>
      <c r="L297" s="36"/>
      <c r="M297" s="36"/>
      <c r="O297" s="18"/>
    </row>
    <row r="298" spans="1:16" s="15" customFormat="1">
      <c r="A298" s="15" t="str">
        <f>IF(BillsT[[#This Row],[Item Name]]="","",
-6 + COUNTIF(INDEX(BillsT[Item Name],1):BillsT[[#This Row],[Item Name]],"&lt;&gt;") - 1)</f>
        <v/>
      </c>
      <c r="J298" s="18"/>
      <c r="K298" s="40">
        <f t="shared" si="4"/>
        <v>0</v>
      </c>
      <c r="L298" s="36"/>
      <c r="M298" s="36"/>
      <c r="O298" s="18"/>
    </row>
    <row r="299" spans="1:16" s="15" customFormat="1">
      <c r="A299" s="15" t="str">
        <f>IF(BillsT[[#This Row],[Item Name]]="","",
-6 + COUNTIF(INDEX(BillsT[Item Name],1):BillsT[[#This Row],[Item Name]],"&lt;&gt;") - 1)</f>
        <v/>
      </c>
      <c r="J299" s="18"/>
      <c r="K299" s="40">
        <f t="shared" si="4"/>
        <v>0</v>
      </c>
      <c r="L299" s="36"/>
      <c r="M299" s="36"/>
      <c r="O299" s="18"/>
    </row>
    <row r="300" spans="1:16" s="15" customFormat="1">
      <c r="A300" s="15" t="str">
        <f>IF(BillsT[[#This Row],[Item Name]]="","",
-6 + COUNTIF(INDEX(BillsT[Item Name],1):BillsT[[#This Row],[Item Name]],"&lt;&gt;") - 1)</f>
        <v/>
      </c>
      <c r="J300" s="18"/>
      <c r="K300" s="40">
        <f t="shared" si="4"/>
        <v>0</v>
      </c>
      <c r="L300" s="36"/>
      <c r="M300" s="36"/>
      <c r="O300" s="18"/>
    </row>
    <row r="301" spans="1:16" s="15" customFormat="1">
      <c r="A301" s="15" t="str">
        <f>IF(BillsT[[#This Row],[Item Name]]="","",
-6 + COUNTIF(INDEX(BillsT[Item Name],1):BillsT[[#This Row],[Item Name]],"&lt;&gt;") - 1)</f>
        <v/>
      </c>
      <c r="J301" s="18"/>
      <c r="K301" s="40">
        <f t="shared" si="4"/>
        <v>0</v>
      </c>
      <c r="L301" s="36"/>
      <c r="M301" s="36"/>
      <c r="O301" s="18"/>
    </row>
    <row r="302" spans="1:16" s="15" customFormat="1">
      <c r="A302" s="15" t="str">
        <f>IF(BillsT[[#This Row],[Item Name]]="","",
-6 + COUNTIF(INDEX(BillsT[Item Name],1):BillsT[[#This Row],[Item Name]],"&lt;&gt;") - 1)</f>
        <v/>
      </c>
      <c r="J302" s="18"/>
      <c r="K302" s="40">
        <f t="shared" si="4"/>
        <v>0</v>
      </c>
      <c r="L302" s="36"/>
      <c r="M302" s="36"/>
      <c r="O302" s="18"/>
    </row>
    <row r="303" spans="1:16" s="15" customFormat="1">
      <c r="A303" s="15" t="str">
        <f>IF(BillsT[[#This Row],[Item Name]]="","",
-6 + COUNTIF(INDEX(BillsT[Item Name],1):BillsT[[#This Row],[Item Name]],"&lt;&gt;") - 1)</f>
        <v/>
      </c>
      <c r="J303" s="18"/>
      <c r="K303" s="40">
        <f t="shared" si="4"/>
        <v>0</v>
      </c>
      <c r="L303" s="36"/>
      <c r="M303" s="36"/>
      <c r="O303" s="18"/>
    </row>
    <row r="304" spans="1:16" s="15" customFormat="1">
      <c r="A304" s="15" t="str">
        <f>IF(BillsT[[#This Row],[Item Name]]="","",
-6 + COUNTIF(INDEX(BillsT[Item Name],1):BillsT[[#This Row],[Item Name]],"&lt;&gt;") - 1)</f>
        <v/>
      </c>
      <c r="J304" s="18"/>
      <c r="K304" s="40">
        <f t="shared" si="4"/>
        <v>0</v>
      </c>
      <c r="L304" s="36"/>
      <c r="M304" s="36"/>
      <c r="O304" s="18"/>
    </row>
    <row r="305" spans="1:15" s="15" customFormat="1">
      <c r="A305" s="15" t="str">
        <f>IF(BillsT[[#This Row],[Item Name]]="","",
-6 + COUNTIF(INDEX(BillsT[Item Name],1):BillsT[[#This Row],[Item Name]],"&lt;&gt;") - 1)</f>
        <v/>
      </c>
      <c r="J305" s="18"/>
      <c r="K305" s="40">
        <f t="shared" si="4"/>
        <v>0</v>
      </c>
      <c r="L305" s="36"/>
      <c r="M305" s="36"/>
      <c r="O305" s="18"/>
    </row>
    <row r="306" spans="1:15" s="15" customFormat="1">
      <c r="A306" s="15" t="str">
        <f>IF(BillsT[[#This Row],[Item Name]]="","",
-6 + COUNTIF(INDEX(BillsT[Item Name],1):BillsT[[#This Row],[Item Name]],"&lt;&gt;") - 1)</f>
        <v/>
      </c>
      <c r="J306" s="18"/>
      <c r="K306" s="40">
        <f t="shared" si="4"/>
        <v>0</v>
      </c>
      <c r="L306" s="36"/>
      <c r="M306" s="36"/>
      <c r="O306" s="18"/>
    </row>
    <row r="307" spans="1:15" s="15" customFormat="1">
      <c r="A307" s="15" t="str">
        <f>IF(BillsT[[#This Row],[Item Name]]="","",
-6 + COUNTIF(INDEX(BillsT[Item Name],1):BillsT[[#This Row],[Item Name]],"&lt;&gt;") - 1)</f>
        <v/>
      </c>
      <c r="J307" s="18"/>
      <c r="K307" s="40">
        <f t="shared" si="4"/>
        <v>0</v>
      </c>
      <c r="L307" s="36"/>
      <c r="M307" s="36"/>
      <c r="O307" s="18"/>
    </row>
    <row r="308" spans="1:15" s="15" customFormat="1">
      <c r="A308" s="15" t="str">
        <f>IF(BillsT[[#This Row],[Item Name]]="","",
-6 + COUNTIF(INDEX(BillsT[Item Name],1):BillsT[[#This Row],[Item Name]],"&lt;&gt;") - 1)</f>
        <v/>
      </c>
      <c r="J308" s="18"/>
      <c r="K308" s="40">
        <f t="shared" si="4"/>
        <v>0</v>
      </c>
      <c r="L308" s="36"/>
      <c r="M308" s="36"/>
      <c r="O308" s="18"/>
    </row>
    <row r="309" spans="1:15" s="15" customFormat="1">
      <c r="A309" s="15" t="str">
        <f>IF(BillsT[[#This Row],[Item Name]]="","",
-6 + COUNTIF(INDEX(BillsT[Item Name],1):BillsT[[#This Row],[Item Name]],"&lt;&gt;") - 1)</f>
        <v/>
      </c>
      <c r="J309" s="18"/>
      <c r="K309" s="40">
        <f t="shared" si="4"/>
        <v>0</v>
      </c>
      <c r="L309" s="36"/>
      <c r="M309" s="36"/>
      <c r="O309" s="18"/>
    </row>
    <row r="310" spans="1:15" s="15" customFormat="1">
      <c r="A310" s="15" t="str">
        <f>IF(BillsT[[#This Row],[Item Name]]="","",
-6 + COUNTIF(INDEX(BillsT[Item Name],1):BillsT[[#This Row],[Item Name]],"&lt;&gt;") - 1)</f>
        <v/>
      </c>
      <c r="J310" s="18"/>
      <c r="K310" s="40">
        <f t="shared" si="4"/>
        <v>0</v>
      </c>
      <c r="L310" s="36"/>
      <c r="M310" s="36"/>
      <c r="O310" s="18"/>
    </row>
    <row r="311" spans="1:15" s="15" customFormat="1">
      <c r="A311" s="15" t="str">
        <f>IF(BillsT[[#This Row],[Item Name]]="","",
-6 + COUNTIF(INDEX(BillsT[Item Name],1):BillsT[[#This Row],[Item Name]],"&lt;&gt;") - 1)</f>
        <v/>
      </c>
      <c r="J311" s="18"/>
      <c r="K311" s="40">
        <f t="shared" si="4"/>
        <v>0</v>
      </c>
      <c r="L311" s="36"/>
      <c r="M311" s="36"/>
      <c r="O311" s="18"/>
    </row>
    <row r="312" spans="1:15" s="15" customFormat="1">
      <c r="A312" s="15" t="str">
        <f>IF(BillsT[[#This Row],[Item Name]]="","",
-6 + COUNTIF(INDEX(BillsT[Item Name],1):BillsT[[#This Row],[Item Name]],"&lt;&gt;") - 1)</f>
        <v/>
      </c>
      <c r="J312" s="18"/>
      <c r="K312" s="40">
        <f t="shared" si="4"/>
        <v>0</v>
      </c>
      <c r="L312" s="36"/>
      <c r="M312" s="36"/>
      <c r="O312" s="18"/>
    </row>
    <row r="313" spans="1:15" s="15" customFormat="1">
      <c r="A313" s="15" t="str">
        <f>IF(BillsT[[#This Row],[Item Name]]="","",
-6 + COUNTIF(INDEX(BillsT[Item Name],1):BillsT[[#This Row],[Item Name]],"&lt;&gt;") - 1)</f>
        <v/>
      </c>
      <c r="J313" s="18"/>
      <c r="K313" s="40">
        <f t="shared" si="4"/>
        <v>0</v>
      </c>
      <c r="L313" s="36"/>
      <c r="M313" s="36"/>
      <c r="O313" s="18"/>
    </row>
    <row r="314" spans="1:15" s="15" customFormat="1">
      <c r="A314" s="15" t="str">
        <f>IF(BillsT[[#This Row],[Item Name]]="","",
-6 + COUNTIF(INDEX(BillsT[Item Name],1):BillsT[[#This Row],[Item Name]],"&lt;&gt;") - 1)</f>
        <v/>
      </c>
      <c r="J314" s="18"/>
      <c r="K314" s="40">
        <f t="shared" si="4"/>
        <v>0</v>
      </c>
      <c r="L314" s="36"/>
      <c r="O314" s="18"/>
    </row>
    <row r="315" spans="1:15" s="15" customFormat="1">
      <c r="A315" s="15" t="str">
        <f>IF(BillsT[[#This Row],[Item Name]]="","",
-6 + COUNTIF(INDEX(BillsT[Item Name],1):BillsT[[#This Row],[Item Name]],"&lt;&gt;") - 1)</f>
        <v/>
      </c>
      <c r="J315" s="18"/>
      <c r="K315" s="40">
        <f t="shared" si="4"/>
        <v>0</v>
      </c>
      <c r="L315" s="36"/>
      <c r="O315" s="18"/>
    </row>
    <row r="316" spans="1:15" s="15" customFormat="1">
      <c r="A316" s="15" t="str">
        <f>IF(BillsT[[#This Row],[Item Name]]="","",
-6 + COUNTIF(INDEX(BillsT[Item Name],1):BillsT[[#This Row],[Item Name]],"&lt;&gt;") - 1)</f>
        <v/>
      </c>
      <c r="J316" s="18"/>
      <c r="K316" s="40">
        <f t="shared" si="4"/>
        <v>0</v>
      </c>
      <c r="L316" s="36"/>
      <c r="O316" s="18"/>
    </row>
    <row r="317" spans="1:15" s="15" customFormat="1">
      <c r="A317" s="15" t="str">
        <f>IF(BillsT[[#This Row],[Item Name]]="","",
-6 + COUNTIF(INDEX(BillsT[Item Name],1):BillsT[[#This Row],[Item Name]],"&lt;&gt;") - 1)</f>
        <v/>
      </c>
      <c r="J317" s="18"/>
      <c r="K317" s="40">
        <f t="shared" si="4"/>
        <v>0</v>
      </c>
      <c r="L317" s="36"/>
      <c r="O317" s="18"/>
    </row>
    <row r="318" spans="1:15" s="15" customFormat="1">
      <c r="A318" s="15" t="str">
        <f>IF(BillsT[[#This Row],[Item Name]]="","",
-6 + COUNTIF(INDEX(BillsT[Item Name],1):BillsT[[#This Row],[Item Name]],"&lt;&gt;") - 1)</f>
        <v/>
      </c>
      <c r="J318" s="18"/>
      <c r="K318" s="40">
        <f t="shared" si="4"/>
        <v>0</v>
      </c>
      <c r="L318" s="36"/>
      <c r="O318" s="18"/>
    </row>
    <row r="319" spans="1:15" s="15" customFormat="1">
      <c r="A319" s="15" t="str">
        <f>IF(BillsT[[#This Row],[Item Name]]="","",
-6 + COUNTIF(INDEX(BillsT[Item Name],1):BillsT[[#This Row],[Item Name]],"&lt;&gt;") - 1)</f>
        <v/>
      </c>
      <c r="J319" s="18"/>
      <c r="K319" s="40">
        <f t="shared" si="4"/>
        <v>0</v>
      </c>
      <c r="L319" s="36"/>
      <c r="O319" s="18"/>
    </row>
    <row r="320" spans="1:15" s="15" customFormat="1">
      <c r="A320" s="15" t="str">
        <f>IF(BillsT[[#This Row],[Item Name]]="","",
-6 + COUNTIF(INDEX(BillsT[Item Name],1):BillsT[[#This Row],[Item Name]],"&lt;&gt;") - 1)</f>
        <v/>
      </c>
      <c r="J320" s="18"/>
      <c r="K320" s="40">
        <f t="shared" si="4"/>
        <v>0</v>
      </c>
      <c r="L320" s="36"/>
      <c r="M320" s="36"/>
      <c r="O320" s="18"/>
    </row>
    <row r="321" spans="1:15" s="15" customFormat="1">
      <c r="A321" s="15" t="str">
        <f>IF(BillsT[[#This Row],[Item Name]]="","",
-6 + COUNTIF(INDEX(BillsT[Item Name],1):BillsT[[#This Row],[Item Name]],"&lt;&gt;") - 1)</f>
        <v/>
      </c>
      <c r="J321" s="18"/>
      <c r="K321" s="40">
        <f t="shared" si="4"/>
        <v>0</v>
      </c>
      <c r="L321" s="36"/>
      <c r="M321" s="36"/>
      <c r="O321" s="18"/>
    </row>
    <row r="322" spans="1:15" s="15" customFormat="1">
      <c r="A322" s="15" t="str">
        <f>IF(BillsT[[#This Row],[Item Name]]="","",
-6 + COUNTIF(INDEX(BillsT[Item Name],1):BillsT[[#This Row],[Item Name]],"&lt;&gt;") - 1)</f>
        <v/>
      </c>
      <c r="J322" s="18"/>
      <c r="K322" s="40">
        <f t="shared" si="4"/>
        <v>0</v>
      </c>
      <c r="L322" s="36"/>
      <c r="M322" s="36"/>
      <c r="O322" s="18"/>
    </row>
    <row r="323" spans="1:15" s="15" customFormat="1">
      <c r="A323" s="15" t="str">
        <f>IF(BillsT[[#This Row],[Item Name]]="","",
-6 + COUNTIF(INDEX(BillsT[Item Name],1):BillsT[[#This Row],[Item Name]],"&lt;&gt;") - 1)</f>
        <v/>
      </c>
      <c r="J323" s="18"/>
      <c r="K323" s="40">
        <f t="shared" ref="K323:K386" si="5">J323*I323</f>
        <v>0</v>
      </c>
      <c r="L323" s="36"/>
      <c r="M323" s="36"/>
      <c r="O323" s="18"/>
    </row>
    <row r="324" spans="1:15" s="15" customFormat="1">
      <c r="A324" s="15" t="str">
        <f>IF(BillsT[[#This Row],[Item Name]]="","",
-6 + COUNTIF(INDEX(BillsT[Item Name],1):BillsT[[#This Row],[Item Name]],"&lt;&gt;") - 1)</f>
        <v/>
      </c>
      <c r="J324" s="18"/>
      <c r="K324" s="40">
        <f t="shared" si="5"/>
        <v>0</v>
      </c>
      <c r="L324" s="36"/>
      <c r="M324" s="36"/>
      <c r="O324" s="18"/>
    </row>
    <row r="325" spans="1:15" s="15" customFormat="1">
      <c r="A325" s="15" t="str">
        <f>IF(BillsT[[#This Row],[Item Name]]="","",
-6 + COUNTIF(INDEX(BillsT[Item Name],1):BillsT[[#This Row],[Item Name]],"&lt;&gt;") - 1)</f>
        <v/>
      </c>
      <c r="J325" s="18"/>
      <c r="K325" s="40">
        <f t="shared" si="5"/>
        <v>0</v>
      </c>
      <c r="L325" s="36"/>
      <c r="M325" s="36"/>
      <c r="O325" s="18"/>
    </row>
    <row r="326" spans="1:15" s="15" customFormat="1">
      <c r="A326" s="15" t="str">
        <f>IF(BillsT[[#This Row],[Item Name]]="","",
-6 + COUNTIF(INDEX(BillsT[Item Name],1):BillsT[[#This Row],[Item Name]],"&lt;&gt;") - 1)</f>
        <v/>
      </c>
      <c r="J326" s="18"/>
      <c r="K326" s="40">
        <f t="shared" si="5"/>
        <v>0</v>
      </c>
      <c r="L326" s="36"/>
      <c r="M326" s="36"/>
      <c r="O326" s="18"/>
    </row>
    <row r="327" spans="1:15" s="15" customFormat="1">
      <c r="A327" s="15" t="str">
        <f>IF(BillsT[[#This Row],[Item Name]]="","",
-6 + COUNTIF(INDEX(BillsT[Item Name],1):BillsT[[#This Row],[Item Name]],"&lt;&gt;") - 1)</f>
        <v/>
      </c>
      <c r="J327" s="18"/>
      <c r="K327" s="40">
        <f t="shared" si="5"/>
        <v>0</v>
      </c>
      <c r="L327" s="36"/>
      <c r="M327" s="36"/>
      <c r="O327" s="18"/>
    </row>
    <row r="328" spans="1:15" s="15" customFormat="1">
      <c r="A328" s="15" t="str">
        <f>IF(BillsT[[#This Row],[Item Name]]="","",
-6 + COUNTIF(INDEX(BillsT[Item Name],1):BillsT[[#This Row],[Item Name]],"&lt;&gt;") - 1)</f>
        <v/>
      </c>
      <c r="J328" s="18"/>
      <c r="K328" s="40">
        <f t="shared" si="5"/>
        <v>0</v>
      </c>
      <c r="L328" s="36"/>
      <c r="M328" s="36"/>
      <c r="O328" s="18"/>
    </row>
    <row r="329" spans="1:15" s="15" customFormat="1">
      <c r="A329" s="15" t="str">
        <f>IF(BillsT[[#This Row],[Item Name]]="","",
-6 + COUNTIF(INDEX(BillsT[Item Name],1):BillsT[[#This Row],[Item Name]],"&lt;&gt;") - 1)</f>
        <v/>
      </c>
      <c r="J329" s="18"/>
      <c r="K329" s="40">
        <f t="shared" si="5"/>
        <v>0</v>
      </c>
      <c r="L329" s="36"/>
      <c r="M329" s="36"/>
      <c r="O329" s="18"/>
    </row>
    <row r="330" spans="1:15" s="15" customFormat="1">
      <c r="A330" s="15" t="str">
        <f>IF(BillsT[[#This Row],[Item Name]]="","",
-6 + COUNTIF(INDEX(BillsT[Item Name],1):BillsT[[#This Row],[Item Name]],"&lt;&gt;") - 1)</f>
        <v/>
      </c>
      <c r="J330" s="18"/>
      <c r="K330" s="40">
        <f t="shared" si="5"/>
        <v>0</v>
      </c>
      <c r="L330" s="36"/>
      <c r="M330" s="36"/>
      <c r="O330" s="18"/>
    </row>
    <row r="331" spans="1:15" s="15" customFormat="1">
      <c r="A331" s="15" t="str">
        <f>IF(BillsT[[#This Row],[Item Name]]="","",
-6 + COUNTIF(INDEX(BillsT[Item Name],1):BillsT[[#This Row],[Item Name]],"&lt;&gt;") - 1)</f>
        <v/>
      </c>
      <c r="J331" s="18"/>
      <c r="K331" s="40">
        <f t="shared" si="5"/>
        <v>0</v>
      </c>
      <c r="L331" s="36"/>
      <c r="M331" s="36"/>
      <c r="O331" s="18"/>
    </row>
    <row r="332" spans="1:15" s="15" customFormat="1">
      <c r="A332" s="15" t="str">
        <f>IF(BillsT[[#This Row],[Item Name]]="","",
-6 + COUNTIF(INDEX(BillsT[Item Name],1):BillsT[[#This Row],[Item Name]],"&lt;&gt;") - 1)</f>
        <v/>
      </c>
      <c r="J332" s="18"/>
      <c r="K332" s="40">
        <f t="shared" si="5"/>
        <v>0</v>
      </c>
      <c r="L332" s="36"/>
      <c r="M332" s="36"/>
      <c r="O332" s="18"/>
    </row>
    <row r="333" spans="1:15" s="15" customFormat="1">
      <c r="A333" s="15" t="str">
        <f>IF(BillsT[[#This Row],[Item Name]]="","",
-6 + COUNTIF(INDEX(BillsT[Item Name],1):BillsT[[#This Row],[Item Name]],"&lt;&gt;") - 1)</f>
        <v/>
      </c>
      <c r="J333" s="18"/>
      <c r="K333" s="40">
        <f t="shared" si="5"/>
        <v>0</v>
      </c>
      <c r="L333" s="36"/>
      <c r="M333" s="36"/>
      <c r="O333" s="18"/>
    </row>
    <row r="334" spans="1:15" s="15" customFormat="1">
      <c r="A334" s="15" t="str">
        <f>IF(BillsT[[#This Row],[Item Name]]="","",
-6 + COUNTIF(INDEX(BillsT[Item Name],1):BillsT[[#This Row],[Item Name]],"&lt;&gt;") - 1)</f>
        <v/>
      </c>
      <c r="J334" s="18"/>
      <c r="K334" s="40">
        <f t="shared" si="5"/>
        <v>0</v>
      </c>
      <c r="L334" s="36"/>
      <c r="M334" s="36"/>
      <c r="O334" s="18"/>
    </row>
    <row r="335" spans="1:15" s="15" customFormat="1">
      <c r="A335" s="15" t="str">
        <f>IF(BillsT[[#This Row],[Item Name]]="","",
-6 + COUNTIF(INDEX(BillsT[Item Name],1):BillsT[[#This Row],[Item Name]],"&lt;&gt;") - 1)</f>
        <v/>
      </c>
      <c r="J335" s="18"/>
      <c r="K335" s="40">
        <f t="shared" si="5"/>
        <v>0</v>
      </c>
      <c r="L335" s="36"/>
      <c r="M335" s="36"/>
      <c r="O335" s="18"/>
    </row>
    <row r="336" spans="1:15" s="15" customFormat="1">
      <c r="A336" s="15" t="str">
        <f>IF(BillsT[[#This Row],[Item Name]]="","",
-6 + COUNTIF(INDEX(BillsT[Item Name],1):BillsT[[#This Row],[Item Name]],"&lt;&gt;") - 1)</f>
        <v/>
      </c>
      <c r="J336" s="18"/>
      <c r="K336" s="40">
        <f t="shared" si="5"/>
        <v>0</v>
      </c>
      <c r="L336" s="36"/>
      <c r="M336" s="36"/>
    </row>
    <row r="337" spans="1:15" s="15" customFormat="1">
      <c r="A337" s="15" t="str">
        <f>IF(BillsT[[#This Row],[Item Name]]="","",
-6 + COUNTIF(INDEX(BillsT[Item Name],1):BillsT[[#This Row],[Item Name]],"&lt;&gt;") - 1)</f>
        <v/>
      </c>
      <c r="J337" s="18"/>
      <c r="K337" s="40">
        <f t="shared" si="5"/>
        <v>0</v>
      </c>
      <c r="L337" s="36"/>
      <c r="M337" s="36"/>
    </row>
    <row r="338" spans="1:15" s="15" customFormat="1">
      <c r="A338" s="15" t="str">
        <f>IF(BillsT[[#This Row],[Item Name]]="","",
-6 + COUNTIF(INDEX(BillsT[Item Name],1):BillsT[[#This Row],[Item Name]],"&lt;&gt;") - 1)</f>
        <v/>
      </c>
      <c r="J338" s="18"/>
      <c r="K338" s="40">
        <f t="shared" si="5"/>
        <v>0</v>
      </c>
      <c r="L338" s="36"/>
      <c r="M338" s="36"/>
    </row>
    <row r="339" spans="1:15" s="15" customFormat="1">
      <c r="A339" s="15" t="str">
        <f>IF(BillsT[[#This Row],[Item Name]]="","",
-6 + COUNTIF(INDEX(BillsT[Item Name],1):BillsT[[#This Row],[Item Name]],"&lt;&gt;") - 1)</f>
        <v/>
      </c>
      <c r="J339" s="18"/>
      <c r="K339" s="40">
        <f t="shared" si="5"/>
        <v>0</v>
      </c>
      <c r="L339" s="36"/>
      <c r="M339" s="36"/>
    </row>
    <row r="340" spans="1:15" s="15" customFormat="1">
      <c r="A340" s="15" t="str">
        <f>IF(BillsT[[#This Row],[Item Name]]="","",
-6 + COUNTIF(INDEX(BillsT[Item Name],1):BillsT[[#This Row],[Item Name]],"&lt;&gt;") - 1)</f>
        <v/>
      </c>
      <c r="J340" s="18"/>
      <c r="K340" s="40">
        <f t="shared" si="5"/>
        <v>0</v>
      </c>
      <c r="L340" s="36"/>
      <c r="M340" s="36"/>
      <c r="O340" s="18"/>
    </row>
    <row r="341" spans="1:15" s="15" customFormat="1">
      <c r="A341" s="15" t="str">
        <f>IF(BillsT[[#This Row],[Item Name]]="","",
-6 + COUNTIF(INDEX(BillsT[Item Name],1):BillsT[[#This Row],[Item Name]],"&lt;&gt;") - 1)</f>
        <v/>
      </c>
      <c r="J341" s="18"/>
      <c r="K341" s="40">
        <f t="shared" si="5"/>
        <v>0</v>
      </c>
      <c r="L341" s="36"/>
      <c r="M341" s="36"/>
      <c r="O341" s="18"/>
    </row>
    <row r="342" spans="1:15" s="15" customFormat="1">
      <c r="A342" s="15" t="str">
        <f>IF(BillsT[[#This Row],[Item Name]]="","",
-6 + COUNTIF(INDEX(BillsT[Item Name],1):BillsT[[#This Row],[Item Name]],"&lt;&gt;") - 1)</f>
        <v/>
      </c>
      <c r="J342" s="18"/>
      <c r="K342" s="40">
        <f t="shared" si="5"/>
        <v>0</v>
      </c>
      <c r="L342" s="36"/>
      <c r="M342" s="36"/>
      <c r="O342" s="18"/>
    </row>
    <row r="343" spans="1:15" s="15" customFormat="1">
      <c r="A343" s="15" t="str">
        <f>IF(BillsT[[#This Row],[Item Name]]="","",
-6 + COUNTIF(INDEX(BillsT[Item Name],1):BillsT[[#This Row],[Item Name]],"&lt;&gt;") - 1)</f>
        <v/>
      </c>
      <c r="J343" s="18"/>
      <c r="K343" s="40">
        <f t="shared" si="5"/>
        <v>0</v>
      </c>
      <c r="L343" s="36"/>
      <c r="M343" s="36"/>
      <c r="O343" s="18"/>
    </row>
    <row r="344" spans="1:15" s="15" customFormat="1">
      <c r="A344" s="15" t="str">
        <f>IF(BillsT[[#This Row],[Item Name]]="","",
-6 + COUNTIF(INDEX(BillsT[Item Name],1):BillsT[[#This Row],[Item Name]],"&lt;&gt;") - 1)</f>
        <v/>
      </c>
      <c r="J344" s="18"/>
      <c r="K344" s="40">
        <f t="shared" si="5"/>
        <v>0</v>
      </c>
      <c r="L344" s="36"/>
      <c r="M344" s="36"/>
      <c r="O344" s="18"/>
    </row>
    <row r="345" spans="1:15" s="15" customFormat="1">
      <c r="A345" s="15" t="str">
        <f>IF(BillsT[[#This Row],[Item Name]]="","",
-6 + COUNTIF(INDEX(BillsT[Item Name],1):BillsT[[#This Row],[Item Name]],"&lt;&gt;") - 1)</f>
        <v/>
      </c>
      <c r="J345" s="18"/>
      <c r="K345" s="40">
        <f t="shared" si="5"/>
        <v>0</v>
      </c>
      <c r="L345" s="36"/>
      <c r="M345" s="36"/>
      <c r="O345" s="18"/>
    </row>
    <row r="346" spans="1:15" s="15" customFormat="1">
      <c r="A346" s="15" t="str">
        <f>IF(BillsT[[#This Row],[Item Name]]="","",
-6 + COUNTIF(INDEX(BillsT[Item Name],1):BillsT[[#This Row],[Item Name]],"&lt;&gt;") - 1)</f>
        <v/>
      </c>
      <c r="J346" s="18"/>
      <c r="K346" s="40">
        <f t="shared" si="5"/>
        <v>0</v>
      </c>
      <c r="L346" s="36"/>
      <c r="M346" s="36"/>
      <c r="O346" s="18"/>
    </row>
    <row r="347" spans="1:15" s="15" customFormat="1">
      <c r="A347" s="15" t="str">
        <f>IF(BillsT[[#This Row],[Item Name]]="","",
-6 + COUNTIF(INDEX(BillsT[Item Name],1):BillsT[[#This Row],[Item Name]],"&lt;&gt;") - 1)</f>
        <v/>
      </c>
      <c r="J347" s="18"/>
      <c r="K347" s="40">
        <f t="shared" si="5"/>
        <v>0</v>
      </c>
      <c r="L347" s="36"/>
      <c r="M347" s="36"/>
      <c r="O347" s="18"/>
    </row>
    <row r="348" spans="1:15" s="15" customFormat="1">
      <c r="A348" s="15" t="str">
        <f>IF(BillsT[[#This Row],[Item Name]]="","",
-6 + COUNTIF(INDEX(BillsT[Item Name],1):BillsT[[#This Row],[Item Name]],"&lt;&gt;") - 1)</f>
        <v/>
      </c>
      <c r="J348" s="18"/>
      <c r="K348" s="40">
        <f t="shared" si="5"/>
        <v>0</v>
      </c>
      <c r="L348" s="36"/>
      <c r="M348" s="36"/>
      <c r="O348" s="18"/>
    </row>
    <row r="349" spans="1:15" s="15" customFormat="1">
      <c r="A349" s="15" t="str">
        <f>IF(BillsT[[#This Row],[Item Name]]="","",
-6 + COUNTIF(INDEX(BillsT[Item Name],1):BillsT[[#This Row],[Item Name]],"&lt;&gt;") - 1)</f>
        <v/>
      </c>
      <c r="J349" s="18"/>
      <c r="K349" s="40">
        <f t="shared" si="5"/>
        <v>0</v>
      </c>
      <c r="L349" s="36"/>
      <c r="M349" s="36"/>
      <c r="O349" s="18"/>
    </row>
    <row r="350" spans="1:15" s="15" customFormat="1">
      <c r="A350" s="15" t="str">
        <f>IF(BillsT[[#This Row],[Item Name]]="","",
-6 + COUNTIF(INDEX(BillsT[Item Name],1):BillsT[[#This Row],[Item Name]],"&lt;&gt;") - 1)</f>
        <v/>
      </c>
      <c r="J350" s="18"/>
      <c r="K350" s="40">
        <f t="shared" si="5"/>
        <v>0</v>
      </c>
      <c r="L350" s="36"/>
      <c r="M350" s="36"/>
      <c r="O350" s="18"/>
    </row>
    <row r="351" spans="1:15" s="15" customFormat="1">
      <c r="A351" s="15" t="str">
        <f>IF(BillsT[[#This Row],[Item Name]]="","",
-6 + COUNTIF(INDEX(BillsT[Item Name],1):BillsT[[#This Row],[Item Name]],"&lt;&gt;") - 1)</f>
        <v/>
      </c>
      <c r="J351" s="18"/>
      <c r="K351" s="40">
        <f t="shared" si="5"/>
        <v>0</v>
      </c>
      <c r="L351" s="36"/>
      <c r="M351" s="36"/>
      <c r="O351" s="18"/>
    </row>
    <row r="352" spans="1:15" s="15" customFormat="1">
      <c r="A352" s="15" t="str">
        <f>IF(BillsT[[#This Row],[Item Name]]="","",
-6 + COUNTIF(INDEX(BillsT[Item Name],1):BillsT[[#This Row],[Item Name]],"&lt;&gt;") - 1)</f>
        <v/>
      </c>
      <c r="J352" s="18"/>
      <c r="K352" s="40">
        <f t="shared" si="5"/>
        <v>0</v>
      </c>
      <c r="L352" s="36"/>
      <c r="M352" s="36"/>
      <c r="O352" s="18"/>
    </row>
    <row r="353" spans="1:15" s="15" customFormat="1">
      <c r="A353" s="15" t="str">
        <f>IF(BillsT[[#This Row],[Item Name]]="","",
-6 + COUNTIF(INDEX(BillsT[Item Name],1):BillsT[[#This Row],[Item Name]],"&lt;&gt;") - 1)</f>
        <v/>
      </c>
      <c r="J353" s="18"/>
      <c r="K353" s="40">
        <f t="shared" si="5"/>
        <v>0</v>
      </c>
      <c r="L353" s="36"/>
      <c r="M353" s="36"/>
      <c r="O353" s="18"/>
    </row>
    <row r="354" spans="1:15" s="15" customFormat="1">
      <c r="A354" s="15" t="str">
        <f>IF(BillsT[[#This Row],[Item Name]]="","",
-6 + COUNTIF(INDEX(BillsT[Item Name],1):BillsT[[#This Row],[Item Name]],"&lt;&gt;") - 1)</f>
        <v/>
      </c>
      <c r="J354" s="18"/>
      <c r="K354" s="40">
        <f t="shared" si="5"/>
        <v>0</v>
      </c>
      <c r="L354" s="36"/>
      <c r="M354" s="36"/>
      <c r="O354" s="18"/>
    </row>
    <row r="355" spans="1:15" s="15" customFormat="1">
      <c r="A355" s="15" t="str">
        <f>IF(BillsT[[#This Row],[Item Name]]="","",
-6 + COUNTIF(INDEX(BillsT[Item Name],1):BillsT[[#This Row],[Item Name]],"&lt;&gt;") - 1)</f>
        <v/>
      </c>
      <c r="J355" s="18"/>
      <c r="K355" s="40">
        <f t="shared" si="5"/>
        <v>0</v>
      </c>
      <c r="L355" s="36"/>
      <c r="M355" s="36"/>
      <c r="O355" s="18"/>
    </row>
    <row r="356" spans="1:15" s="15" customFormat="1">
      <c r="A356" s="15" t="str">
        <f>IF(BillsT[[#This Row],[Item Name]]="","",
-6 + COUNTIF(INDEX(BillsT[Item Name],1):BillsT[[#This Row],[Item Name]],"&lt;&gt;") - 1)</f>
        <v/>
      </c>
      <c r="J356" s="18"/>
      <c r="K356" s="40">
        <f t="shared" si="5"/>
        <v>0</v>
      </c>
      <c r="L356" s="36"/>
      <c r="M356" s="36"/>
      <c r="O356" s="18"/>
    </row>
    <row r="357" spans="1:15" s="15" customFormat="1">
      <c r="A357" s="15" t="str">
        <f>IF(BillsT[[#This Row],[Item Name]]="","",
-6 + COUNTIF(INDEX(BillsT[Item Name],1):BillsT[[#This Row],[Item Name]],"&lt;&gt;") - 1)</f>
        <v/>
      </c>
      <c r="J357" s="18"/>
      <c r="K357" s="40">
        <f t="shared" si="5"/>
        <v>0</v>
      </c>
      <c r="L357" s="36"/>
      <c r="M357" s="36"/>
      <c r="O357" s="18"/>
    </row>
    <row r="358" spans="1:15" s="15" customFormat="1">
      <c r="A358" s="15" t="str">
        <f>IF(BillsT[[#This Row],[Item Name]]="","",
-6 + COUNTIF(INDEX(BillsT[Item Name],1):BillsT[[#This Row],[Item Name]],"&lt;&gt;") - 1)</f>
        <v/>
      </c>
      <c r="J358" s="18"/>
      <c r="K358" s="40">
        <f t="shared" si="5"/>
        <v>0</v>
      </c>
      <c r="L358" s="36"/>
      <c r="M358" s="36"/>
      <c r="O358" s="18"/>
    </row>
    <row r="359" spans="1:15" s="15" customFormat="1">
      <c r="A359" s="15" t="str">
        <f>IF(BillsT[[#This Row],[Item Name]]="","",
-6 + COUNTIF(INDEX(BillsT[Item Name],1):BillsT[[#This Row],[Item Name]],"&lt;&gt;") - 1)</f>
        <v/>
      </c>
      <c r="D359" s="39"/>
      <c r="J359" s="18"/>
      <c r="K359" s="40">
        <f t="shared" si="5"/>
        <v>0</v>
      </c>
      <c r="L359" s="36"/>
      <c r="M359" s="36"/>
      <c r="O359" s="18"/>
    </row>
    <row r="360" spans="1:15" s="15" customFormat="1">
      <c r="A360" s="15" t="str">
        <f>IF(BillsT[[#This Row],[Item Name]]="","",
-6 + COUNTIF(INDEX(BillsT[Item Name],1):BillsT[[#This Row],[Item Name]],"&lt;&gt;") - 1)</f>
        <v/>
      </c>
      <c r="J360" s="18"/>
      <c r="K360" s="40">
        <f t="shared" si="5"/>
        <v>0</v>
      </c>
      <c r="L360" s="36"/>
      <c r="M360" s="36"/>
      <c r="O360" s="18"/>
    </row>
    <row r="361" spans="1:15" s="15" customFormat="1">
      <c r="A361" s="15" t="str">
        <f>IF(BillsT[[#This Row],[Item Name]]="","",
-6 + COUNTIF(INDEX(BillsT[Item Name],1):BillsT[[#This Row],[Item Name]],"&lt;&gt;") - 1)</f>
        <v/>
      </c>
      <c r="D361" s="39"/>
      <c r="J361" s="18"/>
      <c r="K361" s="40">
        <f t="shared" si="5"/>
        <v>0</v>
      </c>
      <c r="L361" s="36"/>
      <c r="M361" s="36"/>
      <c r="O361" s="18"/>
    </row>
    <row r="362" spans="1:15" s="15" customFormat="1">
      <c r="A362" s="15" t="str">
        <f>IF(BillsT[[#This Row],[Item Name]]="","",
-6 + COUNTIF(INDEX(BillsT[Item Name],1):BillsT[[#This Row],[Item Name]],"&lt;&gt;") - 1)</f>
        <v/>
      </c>
      <c r="J362" s="18"/>
      <c r="K362" s="40">
        <f t="shared" si="5"/>
        <v>0</v>
      </c>
      <c r="L362" s="36"/>
      <c r="M362" s="36"/>
      <c r="O362" s="18"/>
    </row>
    <row r="363" spans="1:15" s="15" customFormat="1">
      <c r="A363" s="15" t="str">
        <f>IF(BillsT[[#This Row],[Item Name]]="","",
-6 + COUNTIF(INDEX(BillsT[Item Name],1):BillsT[[#This Row],[Item Name]],"&lt;&gt;") - 1)</f>
        <v/>
      </c>
      <c r="J363" s="18"/>
      <c r="K363" s="40">
        <f t="shared" si="5"/>
        <v>0</v>
      </c>
      <c r="L363" s="36"/>
      <c r="M363" s="36"/>
      <c r="O363" s="18"/>
    </row>
    <row r="364" spans="1:15" s="15" customFormat="1">
      <c r="A364" s="15" t="str">
        <f>IF(BillsT[[#This Row],[Item Name]]="","",
-6 + COUNTIF(INDEX(BillsT[Item Name],1):BillsT[[#This Row],[Item Name]],"&lt;&gt;") - 1)</f>
        <v/>
      </c>
      <c r="J364" s="18"/>
      <c r="K364" s="40">
        <f t="shared" si="5"/>
        <v>0</v>
      </c>
      <c r="L364" s="36"/>
      <c r="M364" s="36"/>
      <c r="O364" s="18"/>
    </row>
    <row r="365" spans="1:15" s="15" customFormat="1">
      <c r="A365" s="15" t="str">
        <f>IF(BillsT[[#This Row],[Item Name]]="","",
-6 + COUNTIF(INDEX(BillsT[Item Name],1):BillsT[[#This Row],[Item Name]],"&lt;&gt;") - 1)</f>
        <v/>
      </c>
      <c r="J365" s="18"/>
      <c r="K365" s="40">
        <f t="shared" si="5"/>
        <v>0</v>
      </c>
      <c r="L365" s="36"/>
      <c r="M365" s="36"/>
      <c r="O365" s="18"/>
    </row>
    <row r="366" spans="1:15" s="15" customFormat="1">
      <c r="A366" s="15" t="str">
        <f>IF(BillsT[[#This Row],[Item Name]]="","",
-6 + COUNTIF(INDEX(BillsT[Item Name],1):BillsT[[#This Row],[Item Name]],"&lt;&gt;") - 1)</f>
        <v/>
      </c>
      <c r="D366" s="39"/>
      <c r="J366" s="18"/>
      <c r="K366" s="40">
        <f t="shared" si="5"/>
        <v>0</v>
      </c>
      <c r="L366" s="36"/>
      <c r="M366" s="36"/>
      <c r="O366" s="18"/>
    </row>
    <row r="367" spans="1:15" s="15" customFormat="1">
      <c r="A367" s="15" t="str">
        <f>IF(BillsT[[#This Row],[Item Name]]="","",
-6 + COUNTIF(INDEX(BillsT[Item Name],1):BillsT[[#This Row],[Item Name]],"&lt;&gt;") - 1)</f>
        <v/>
      </c>
      <c r="J367" s="18"/>
      <c r="K367" s="40">
        <f t="shared" si="5"/>
        <v>0</v>
      </c>
      <c r="L367" s="36"/>
      <c r="M367" s="36"/>
      <c r="O367" s="18"/>
    </row>
    <row r="368" spans="1:15" s="15" customFormat="1">
      <c r="A368" s="15" t="str">
        <f>IF(BillsT[[#This Row],[Item Name]]="","",
-6 + COUNTIF(INDEX(BillsT[Item Name],1):BillsT[[#This Row],[Item Name]],"&lt;&gt;") - 1)</f>
        <v/>
      </c>
      <c r="D368" s="39"/>
      <c r="J368" s="18"/>
      <c r="K368" s="40">
        <f t="shared" si="5"/>
        <v>0</v>
      </c>
      <c r="L368" s="36"/>
      <c r="M368" s="36"/>
      <c r="O368" s="18"/>
    </row>
    <row r="369" spans="1:15" s="15" customFormat="1">
      <c r="A369" s="15" t="str">
        <f>IF(BillsT[[#This Row],[Item Name]]="","",
-6 + COUNTIF(INDEX(BillsT[Item Name],1):BillsT[[#This Row],[Item Name]],"&lt;&gt;") - 1)</f>
        <v/>
      </c>
      <c r="J369" s="18"/>
      <c r="K369" s="40">
        <f t="shared" si="5"/>
        <v>0</v>
      </c>
      <c r="L369" s="36"/>
      <c r="M369" s="36"/>
      <c r="O369" s="18"/>
    </row>
    <row r="370" spans="1:15" s="15" customFormat="1">
      <c r="A370" s="15" t="str">
        <f>IF(BillsT[[#This Row],[Item Name]]="","",
-6 + COUNTIF(INDEX(BillsT[Item Name],1):BillsT[[#This Row],[Item Name]],"&lt;&gt;") - 1)</f>
        <v/>
      </c>
      <c r="J370" s="18"/>
      <c r="K370" s="40">
        <f t="shared" si="5"/>
        <v>0</v>
      </c>
      <c r="L370" s="36"/>
      <c r="M370" s="36"/>
      <c r="O370" s="18"/>
    </row>
    <row r="371" spans="1:15" s="15" customFormat="1">
      <c r="A371" s="15" t="str">
        <f>IF(BillsT[[#This Row],[Item Name]]="","",
-6 + COUNTIF(INDEX(BillsT[Item Name],1):BillsT[[#This Row],[Item Name]],"&lt;&gt;") - 1)</f>
        <v/>
      </c>
      <c r="J371" s="18"/>
      <c r="K371" s="40">
        <f t="shared" si="5"/>
        <v>0</v>
      </c>
      <c r="L371" s="36"/>
      <c r="M371" s="36"/>
      <c r="O371" s="18"/>
    </row>
    <row r="372" spans="1:15" s="15" customFormat="1">
      <c r="A372" s="15" t="str">
        <f>IF(BillsT[[#This Row],[Item Name]]="","",
-6 + COUNTIF(INDEX(BillsT[Item Name],1):BillsT[[#This Row],[Item Name]],"&lt;&gt;") - 1)</f>
        <v/>
      </c>
      <c r="J372" s="18"/>
      <c r="K372" s="40">
        <f t="shared" si="5"/>
        <v>0</v>
      </c>
      <c r="L372" s="36"/>
      <c r="M372" s="36"/>
      <c r="O372" s="18"/>
    </row>
    <row r="373" spans="1:15" s="15" customFormat="1">
      <c r="A373" s="15" t="str">
        <f>IF(BillsT[[#This Row],[Item Name]]="","",
-6 + COUNTIF(INDEX(BillsT[Item Name],1):BillsT[[#This Row],[Item Name]],"&lt;&gt;") - 1)</f>
        <v/>
      </c>
      <c r="J373" s="18"/>
      <c r="K373" s="40">
        <f t="shared" si="5"/>
        <v>0</v>
      </c>
      <c r="L373" s="36"/>
      <c r="M373" s="36"/>
      <c r="O373" s="18"/>
    </row>
    <row r="374" spans="1:15" s="15" customFormat="1">
      <c r="A374" s="15" t="str">
        <f>IF(BillsT[[#This Row],[Item Name]]="","",
-6 + COUNTIF(INDEX(BillsT[Item Name],1):BillsT[[#This Row],[Item Name]],"&lt;&gt;") - 1)</f>
        <v/>
      </c>
      <c r="J374" s="18"/>
      <c r="K374" s="40">
        <f t="shared" si="5"/>
        <v>0</v>
      </c>
      <c r="L374" s="36"/>
      <c r="M374" s="36"/>
      <c r="O374" s="18"/>
    </row>
    <row r="375" spans="1:15" s="15" customFormat="1">
      <c r="A375" s="15" t="str">
        <f>IF(BillsT[[#This Row],[Item Name]]="","",
-6 + COUNTIF(INDEX(BillsT[Item Name],1):BillsT[[#This Row],[Item Name]],"&lt;&gt;") - 1)</f>
        <v/>
      </c>
      <c r="J375" s="18"/>
      <c r="K375" s="40">
        <f t="shared" si="5"/>
        <v>0</v>
      </c>
      <c r="L375" s="36"/>
      <c r="M375" s="36"/>
      <c r="O375" s="18"/>
    </row>
    <row r="376" spans="1:15" s="15" customFormat="1">
      <c r="A376" s="15" t="str">
        <f>IF(BillsT[[#This Row],[Item Name]]="","",
-6 + COUNTIF(INDEX(BillsT[Item Name],1):BillsT[[#This Row],[Item Name]],"&lt;&gt;") - 1)</f>
        <v/>
      </c>
      <c r="J376" s="18"/>
      <c r="K376" s="40">
        <f t="shared" si="5"/>
        <v>0</v>
      </c>
      <c r="L376" s="36"/>
      <c r="M376" s="36"/>
      <c r="O376" s="18"/>
    </row>
    <row r="377" spans="1:15" s="15" customFormat="1">
      <c r="A377" s="15" t="str">
        <f>IF(BillsT[[#This Row],[Item Name]]="","",
-6 + COUNTIF(INDEX(BillsT[Item Name],1):BillsT[[#This Row],[Item Name]],"&lt;&gt;") - 1)</f>
        <v/>
      </c>
      <c r="J377" s="18"/>
      <c r="K377" s="40">
        <f t="shared" si="5"/>
        <v>0</v>
      </c>
      <c r="L377" s="36"/>
      <c r="M377" s="36"/>
      <c r="O377" s="18"/>
    </row>
    <row r="378" spans="1:15" s="15" customFormat="1">
      <c r="A378" s="15" t="str">
        <f>IF(BillsT[[#This Row],[Item Name]]="","",
-6 + COUNTIF(INDEX(BillsT[Item Name],1):BillsT[[#This Row],[Item Name]],"&lt;&gt;") - 1)</f>
        <v/>
      </c>
      <c r="J378" s="18"/>
      <c r="K378" s="40">
        <f t="shared" si="5"/>
        <v>0</v>
      </c>
      <c r="L378" s="36"/>
      <c r="M378" s="36"/>
      <c r="O378" s="18"/>
    </row>
    <row r="379" spans="1:15" s="15" customFormat="1">
      <c r="A379" s="15" t="str">
        <f>IF(BillsT[[#This Row],[Item Name]]="","",
-6 + COUNTIF(INDEX(BillsT[Item Name],1):BillsT[[#This Row],[Item Name]],"&lt;&gt;") - 1)</f>
        <v/>
      </c>
      <c r="J379" s="18"/>
      <c r="K379" s="40">
        <f t="shared" si="5"/>
        <v>0</v>
      </c>
      <c r="L379" s="36"/>
      <c r="M379" s="36"/>
      <c r="O379" s="18"/>
    </row>
    <row r="380" spans="1:15" s="15" customFormat="1">
      <c r="A380" s="15" t="str">
        <f>IF(BillsT[[#This Row],[Item Name]]="","",
-6 + COUNTIF(INDEX(BillsT[Item Name],1):BillsT[[#This Row],[Item Name]],"&lt;&gt;") - 1)</f>
        <v/>
      </c>
      <c r="D380" s="39"/>
      <c r="J380" s="18"/>
      <c r="K380" s="40">
        <f t="shared" si="5"/>
        <v>0</v>
      </c>
      <c r="L380" s="36"/>
      <c r="M380" s="36"/>
      <c r="O380" s="18"/>
    </row>
    <row r="381" spans="1:15" s="15" customFormat="1">
      <c r="A381" s="15" t="str">
        <f>IF(BillsT[[#This Row],[Item Name]]="","",
-6 + COUNTIF(INDEX(BillsT[Item Name],1):BillsT[[#This Row],[Item Name]],"&lt;&gt;") - 1)</f>
        <v/>
      </c>
      <c r="D381" s="39"/>
      <c r="J381" s="18"/>
      <c r="K381" s="40">
        <f t="shared" si="5"/>
        <v>0</v>
      </c>
      <c r="L381" s="36"/>
      <c r="M381" s="36"/>
      <c r="O381" s="18"/>
    </row>
    <row r="382" spans="1:15" s="15" customFormat="1">
      <c r="A382" s="15" t="str">
        <f>IF(BillsT[[#This Row],[Item Name]]="","",
-6 + COUNTIF(INDEX(BillsT[Item Name],1):BillsT[[#This Row],[Item Name]],"&lt;&gt;") - 1)</f>
        <v/>
      </c>
      <c r="J382" s="18"/>
      <c r="K382" s="40">
        <f t="shared" si="5"/>
        <v>0</v>
      </c>
      <c r="L382" s="36"/>
      <c r="M382" s="36"/>
      <c r="O382" s="18"/>
    </row>
    <row r="383" spans="1:15" s="15" customFormat="1">
      <c r="A383" s="15" t="str">
        <f>IF(BillsT[[#This Row],[Item Name]]="","",
-6 + COUNTIF(INDEX(BillsT[Item Name],1):BillsT[[#This Row],[Item Name]],"&lt;&gt;") - 1)</f>
        <v/>
      </c>
      <c r="J383" s="18"/>
      <c r="K383" s="40">
        <f t="shared" si="5"/>
        <v>0</v>
      </c>
      <c r="L383" s="36"/>
      <c r="M383" s="36"/>
      <c r="O383" s="18"/>
    </row>
    <row r="384" spans="1:15" s="15" customFormat="1">
      <c r="A384" s="15" t="str">
        <f>IF(BillsT[[#This Row],[Item Name]]="","",
-6 + COUNTIF(INDEX(BillsT[Item Name],1):BillsT[[#This Row],[Item Name]],"&lt;&gt;") - 1)</f>
        <v/>
      </c>
      <c r="J384" s="18"/>
      <c r="K384" s="40">
        <f t="shared" si="5"/>
        <v>0</v>
      </c>
      <c r="L384" s="36"/>
      <c r="M384" s="36"/>
      <c r="O384" s="18"/>
    </row>
    <row r="385" spans="1:15" s="15" customFormat="1">
      <c r="A385" s="15" t="str">
        <f>IF(BillsT[[#This Row],[Item Name]]="","",
-6 + COUNTIF(INDEX(BillsT[Item Name],1):BillsT[[#This Row],[Item Name]],"&lt;&gt;") - 1)</f>
        <v/>
      </c>
      <c r="D385" s="39"/>
      <c r="J385" s="18"/>
      <c r="K385" s="40">
        <f t="shared" si="5"/>
        <v>0</v>
      </c>
      <c r="L385" s="36"/>
      <c r="M385" s="36"/>
      <c r="O385" s="18"/>
    </row>
    <row r="386" spans="1:15" s="15" customFormat="1">
      <c r="A386" s="15" t="str">
        <f>IF(BillsT[[#This Row],[Item Name]]="","",
-6 + COUNTIF(INDEX(BillsT[Item Name],1):BillsT[[#This Row],[Item Name]],"&lt;&gt;") - 1)</f>
        <v/>
      </c>
      <c r="J386" s="18"/>
      <c r="K386" s="40">
        <f t="shared" si="5"/>
        <v>0</v>
      </c>
      <c r="L386" s="36"/>
      <c r="M386" s="36"/>
      <c r="O386" s="18"/>
    </row>
    <row r="387" spans="1:15" s="15" customFormat="1">
      <c r="A387" s="15" t="str">
        <f>IF(BillsT[[#This Row],[Item Name]]="","",
-6 + COUNTIF(INDEX(BillsT[Item Name],1):BillsT[[#This Row],[Item Name]],"&lt;&gt;") - 1)</f>
        <v/>
      </c>
      <c r="D387" s="39"/>
      <c r="J387" s="18"/>
      <c r="K387" s="40">
        <f t="shared" ref="K387:K450" si="6">J387*I387</f>
        <v>0</v>
      </c>
      <c r="L387" s="36"/>
      <c r="M387" s="36"/>
      <c r="O387" s="18"/>
    </row>
    <row r="388" spans="1:15" s="15" customFormat="1">
      <c r="A388" s="15" t="str">
        <f>IF(BillsT[[#This Row],[Item Name]]="","",
-6 + COUNTIF(INDEX(BillsT[Item Name],1):BillsT[[#This Row],[Item Name]],"&lt;&gt;") - 1)</f>
        <v/>
      </c>
      <c r="J388" s="18"/>
      <c r="K388" s="40">
        <f t="shared" si="6"/>
        <v>0</v>
      </c>
      <c r="L388" s="36"/>
      <c r="M388" s="36"/>
      <c r="O388" s="18"/>
    </row>
    <row r="389" spans="1:15" s="15" customFormat="1">
      <c r="A389" s="15" t="str">
        <f>IF(BillsT[[#This Row],[Item Name]]="","",
-6 + COUNTIF(INDEX(BillsT[Item Name],1):BillsT[[#This Row],[Item Name]],"&lt;&gt;") - 1)</f>
        <v/>
      </c>
      <c r="J389" s="18"/>
      <c r="K389" s="40">
        <f t="shared" si="6"/>
        <v>0</v>
      </c>
      <c r="L389" s="36"/>
      <c r="M389" s="36"/>
      <c r="O389" s="18"/>
    </row>
    <row r="390" spans="1:15" s="15" customFormat="1">
      <c r="A390" s="15" t="str">
        <f>IF(BillsT[[#This Row],[Item Name]]="","",
-6 + COUNTIF(INDEX(BillsT[Item Name],1):BillsT[[#This Row],[Item Name]],"&lt;&gt;") - 1)</f>
        <v/>
      </c>
      <c r="J390" s="18"/>
      <c r="K390" s="40">
        <f t="shared" si="6"/>
        <v>0</v>
      </c>
      <c r="L390" s="36"/>
      <c r="M390" s="36"/>
      <c r="O390" s="18"/>
    </row>
    <row r="391" spans="1:15" s="15" customFormat="1">
      <c r="A391" s="15" t="str">
        <f>IF(BillsT[[#This Row],[Item Name]]="","",
-6 + COUNTIF(INDEX(BillsT[Item Name],1):BillsT[[#This Row],[Item Name]],"&lt;&gt;") - 1)</f>
        <v/>
      </c>
      <c r="J391" s="18"/>
      <c r="K391" s="40">
        <f t="shared" si="6"/>
        <v>0</v>
      </c>
      <c r="L391" s="36"/>
      <c r="M391" s="36"/>
      <c r="O391" s="18"/>
    </row>
    <row r="392" spans="1:15" s="15" customFormat="1">
      <c r="A392" s="15" t="str">
        <f>IF(BillsT[[#This Row],[Item Name]]="","",
-6 + COUNTIF(INDEX(BillsT[Item Name],1):BillsT[[#This Row],[Item Name]],"&lt;&gt;") - 1)</f>
        <v/>
      </c>
      <c r="J392" s="18"/>
      <c r="K392" s="40">
        <f t="shared" si="6"/>
        <v>0</v>
      </c>
      <c r="L392" s="36"/>
      <c r="M392" s="36"/>
      <c r="O392" s="18"/>
    </row>
    <row r="393" spans="1:15" s="15" customFormat="1">
      <c r="A393" s="15" t="str">
        <f>IF(BillsT[[#This Row],[Item Name]]="","",
-6 + COUNTIF(INDEX(BillsT[Item Name],1):BillsT[[#This Row],[Item Name]],"&lt;&gt;") - 1)</f>
        <v/>
      </c>
      <c r="J393" s="18"/>
      <c r="K393" s="40">
        <f t="shared" si="6"/>
        <v>0</v>
      </c>
      <c r="L393" s="36"/>
      <c r="M393" s="36"/>
      <c r="O393" s="18"/>
    </row>
    <row r="394" spans="1:15" s="15" customFormat="1">
      <c r="A394" s="15" t="str">
        <f>IF(BillsT[[#This Row],[Item Name]]="","",
-6 + COUNTIF(INDEX(BillsT[Item Name],1):BillsT[[#This Row],[Item Name]],"&lt;&gt;") - 1)</f>
        <v/>
      </c>
      <c r="J394" s="18"/>
      <c r="K394" s="18">
        <f t="shared" si="6"/>
        <v>0</v>
      </c>
      <c r="L394" s="36"/>
      <c r="M394" s="36"/>
      <c r="O394" s="18" t="str">
        <f>IF(BillsT[[#This Row],[Bill Item ID]]="","",(BillsT[[#This Row],[Total Cost]] - SUMIFS(OrderT[Total Cost], OrderT[Bill Item ID], BillsT[[#This Row],[Bill Item ID]])))</f>
        <v/>
      </c>
    </row>
    <row r="395" spans="1:15" s="15" customFormat="1">
      <c r="A395" s="15" t="str">
        <f>IF(BillsT[[#This Row],[Item Name]]="","",
-6 + COUNTIF(INDEX(BillsT[Item Name],1):BillsT[[#This Row],[Item Name]],"&lt;&gt;") - 1)</f>
        <v/>
      </c>
      <c r="J395" s="18"/>
      <c r="K395" s="18">
        <f t="shared" si="6"/>
        <v>0</v>
      </c>
      <c r="L395" s="36"/>
      <c r="M395" s="36"/>
      <c r="O395" s="18" t="str">
        <f>IF(BillsT[[#This Row],[Bill Item ID]]="","",(BillsT[[#This Row],[Total Cost]] - SUMIFS(OrderT[Total Cost], OrderT[Bill Item ID], BillsT[[#This Row],[Bill Item ID]])))</f>
        <v/>
      </c>
    </row>
    <row r="396" spans="1:15" s="15" customFormat="1">
      <c r="A396" s="15" t="str">
        <f>IF(BillsT[[#This Row],[Item Name]]="","",
-6 + COUNTIF(INDEX(BillsT[Item Name],1):BillsT[[#This Row],[Item Name]],"&lt;&gt;") - 1)</f>
        <v/>
      </c>
      <c r="J396" s="18"/>
      <c r="K396" s="18">
        <f t="shared" si="6"/>
        <v>0</v>
      </c>
      <c r="L396" s="36"/>
      <c r="M396" s="36"/>
      <c r="O396" s="18" t="str">
        <f>IF(BillsT[[#This Row],[Bill Item ID]]="","",(BillsT[[#This Row],[Total Cost]] - SUMIFS(OrderT[Total Cost], OrderT[Bill Item ID], BillsT[[#This Row],[Bill Item ID]])))</f>
        <v/>
      </c>
    </row>
    <row r="397" spans="1:15" s="15" customFormat="1">
      <c r="A397" s="15" t="str">
        <f>IF(BillsT[[#This Row],[Item Name]]="","",
-6 + COUNTIF(INDEX(BillsT[Item Name],1):BillsT[[#This Row],[Item Name]],"&lt;&gt;") - 1)</f>
        <v/>
      </c>
      <c r="J397" s="18"/>
      <c r="K397" s="18">
        <f t="shared" si="6"/>
        <v>0</v>
      </c>
      <c r="L397" s="36"/>
      <c r="M397" s="36"/>
      <c r="O397" s="18" t="str">
        <f>IF(BillsT[[#This Row],[Bill Item ID]]="","",(BillsT[[#This Row],[Total Cost]] - SUMIFS(OrderT[Total Cost], OrderT[Bill Item ID], BillsT[[#This Row],[Bill Item ID]])))</f>
        <v/>
      </c>
    </row>
    <row r="398" spans="1:15" s="15" customFormat="1">
      <c r="A398" s="15" t="str">
        <f>IF(BillsT[[#This Row],[Item Name]]="","",
-6 + COUNTIF(INDEX(BillsT[Item Name],1):BillsT[[#This Row],[Item Name]],"&lt;&gt;") - 1)</f>
        <v/>
      </c>
      <c r="J398" s="18"/>
      <c r="K398" s="18">
        <f t="shared" si="6"/>
        <v>0</v>
      </c>
      <c r="L398" s="36"/>
      <c r="M398" s="36"/>
      <c r="O398" s="18" t="str">
        <f>IF(BillsT[[#This Row],[Bill Item ID]]="","",(BillsT[[#This Row],[Total Cost]] - SUMIFS(OrderT[Total Cost], OrderT[Bill Item ID], BillsT[[#This Row],[Bill Item ID]])))</f>
        <v/>
      </c>
    </row>
    <row r="399" spans="1:15" s="15" customFormat="1">
      <c r="A399" s="15" t="str">
        <f>IF(BillsT[[#This Row],[Item Name]]="","",
-6 + COUNTIF(INDEX(BillsT[Item Name],1):BillsT[[#This Row],[Item Name]],"&lt;&gt;") - 1)</f>
        <v/>
      </c>
      <c r="J399" s="18"/>
      <c r="K399" s="18">
        <f t="shared" si="6"/>
        <v>0</v>
      </c>
      <c r="L399" s="36"/>
      <c r="M399" s="36"/>
      <c r="O399" s="18" t="str">
        <f>IF(BillsT[[#This Row],[Bill Item ID]]="","",(BillsT[[#This Row],[Total Cost]] - SUMIFS(OrderT[Total Cost], OrderT[Bill Item ID], BillsT[[#This Row],[Bill Item ID]])))</f>
        <v/>
      </c>
    </row>
    <row r="400" spans="1:15" s="15" customFormat="1">
      <c r="A400" s="15" t="str">
        <f>IF(BillsT[[#This Row],[Item Name]]="","",
-6 + COUNTIF(INDEX(BillsT[Item Name],1):BillsT[[#This Row],[Item Name]],"&lt;&gt;") - 1)</f>
        <v/>
      </c>
      <c r="J400" s="18"/>
      <c r="K400" s="18">
        <f t="shared" si="6"/>
        <v>0</v>
      </c>
      <c r="L400" s="36"/>
      <c r="M400" s="36"/>
      <c r="O400" s="18" t="str">
        <f>IF(BillsT[[#This Row],[Bill Item ID]]="","",(BillsT[[#This Row],[Total Cost]] - SUMIFS(OrderT[Total Cost], OrderT[Bill Item ID], BillsT[[#This Row],[Bill Item ID]])))</f>
        <v/>
      </c>
    </row>
    <row r="401" spans="1:16" s="15" customFormat="1">
      <c r="A401" s="15" t="str">
        <f>IF(BillsT[[#This Row],[Item Name]]="","",
-6 + COUNTIF(INDEX(BillsT[Item Name],1):BillsT[[#This Row],[Item Name]],"&lt;&gt;") - 1)</f>
        <v/>
      </c>
      <c r="J401" s="18"/>
      <c r="K401" s="18">
        <f t="shared" si="6"/>
        <v>0</v>
      </c>
      <c r="L401" s="36"/>
      <c r="M401" s="36"/>
      <c r="O401" s="18" t="str">
        <f>IF(BillsT[[#This Row],[Bill Item ID]]="","",(BillsT[[#This Row],[Total Cost]] - SUMIFS(OrderT[Total Cost], OrderT[Bill Item ID], BillsT[[#This Row],[Bill Item ID]])))</f>
        <v/>
      </c>
    </row>
    <row r="402" spans="1:16" s="15" customFormat="1">
      <c r="A402" s="15" t="str">
        <f>IF(BillsT[[#This Row],[Item Name]]="","",
-6 + COUNTIF(INDEX(BillsT[Item Name],1):BillsT[[#This Row],[Item Name]],"&lt;&gt;") - 1)</f>
        <v/>
      </c>
      <c r="J402" s="18"/>
      <c r="K402" s="18">
        <f t="shared" si="6"/>
        <v>0</v>
      </c>
      <c r="L402" s="36"/>
      <c r="M402" s="36"/>
      <c r="O402" s="18" t="str">
        <f>IF(BillsT[[#This Row],[Bill Item ID]]="","",(BillsT[[#This Row],[Total Cost]] - SUMIFS(OrderT[Total Cost], OrderT[Bill Item ID], BillsT[[#This Row],[Bill Item ID]])))</f>
        <v/>
      </c>
    </row>
    <row r="403" spans="1:16" s="15" customFormat="1">
      <c r="A403" s="15" t="str">
        <f>IF(BillsT[[#This Row],[Item Name]]="","",
-6 + COUNTIF(INDEX(BillsT[Item Name],1):BillsT[[#This Row],[Item Name]],"&lt;&gt;") - 1)</f>
        <v/>
      </c>
      <c r="J403" s="18"/>
      <c r="K403" s="18">
        <f t="shared" si="6"/>
        <v>0</v>
      </c>
      <c r="L403" s="36"/>
      <c r="M403" s="36"/>
      <c r="O403" s="18" t="str">
        <f>IF(BillsT[[#This Row],[Bill Item ID]]="","",(BillsT[[#This Row],[Total Cost]] - SUMIFS(OrderT[Total Cost], OrderT[Bill Item ID], BillsT[[#This Row],[Bill Item ID]])))</f>
        <v/>
      </c>
    </row>
    <row r="404" spans="1:16" s="15" customFormat="1">
      <c r="A404" s="15" t="str">
        <f>IF(BillsT[[#This Row],[Item Name]]="","",
-6 + COUNTIF(INDEX(BillsT[Item Name],1):BillsT[[#This Row],[Item Name]],"&lt;&gt;") - 1)</f>
        <v/>
      </c>
      <c r="J404" s="18"/>
      <c r="K404" s="18">
        <f t="shared" si="6"/>
        <v>0</v>
      </c>
      <c r="L404" s="36"/>
      <c r="M404" s="36"/>
      <c r="O404" s="18" t="str">
        <f>IF(BillsT[[#This Row],[Bill Item ID]]="","",(BillsT[[#This Row],[Total Cost]] - SUMIFS(OrderT[Total Cost], OrderT[Bill Item ID], BillsT[[#This Row],[Bill Item ID]])))</f>
        <v/>
      </c>
    </row>
    <row r="405" spans="1:16" s="15" customFormat="1">
      <c r="A405" s="15" t="str">
        <f>IF(BillsT[[#This Row],[Item Name]]="","",
-6 + COUNTIF(INDEX(BillsT[Item Name],1):BillsT[[#This Row],[Item Name]],"&lt;&gt;") - 1)</f>
        <v/>
      </c>
      <c r="J405" s="18"/>
      <c r="K405" s="18">
        <f t="shared" si="6"/>
        <v>0</v>
      </c>
      <c r="L405" s="36"/>
      <c r="M405" s="36"/>
      <c r="O405" s="18" t="str">
        <f>IF(BillsT[[#This Row],[Bill Item ID]]="","",(BillsT[[#This Row],[Total Cost]] - SUMIFS(OrderT[Total Cost], OrderT[Bill Item ID], BillsT[[#This Row],[Bill Item ID]])))</f>
        <v/>
      </c>
    </row>
    <row r="406" spans="1:16" s="15" customFormat="1">
      <c r="A406" s="15" t="str">
        <f>IF(BillsT[[#This Row],[Item Name]]="","",
-6 + COUNTIF(INDEX(BillsT[Item Name],1):BillsT[[#This Row],[Item Name]],"&lt;&gt;") - 1)</f>
        <v/>
      </c>
      <c r="J406" s="18"/>
      <c r="K406" s="18">
        <f t="shared" si="6"/>
        <v>0</v>
      </c>
      <c r="L406" s="36"/>
      <c r="M406" s="36"/>
      <c r="O406" s="18" t="str">
        <f>IF(BillsT[[#This Row],[Bill Item ID]]="","",(BillsT[[#This Row],[Total Cost]] - SUMIFS(OrderT[Total Cost], OrderT[Bill Item ID], BillsT[[#This Row],[Bill Item ID]])))</f>
        <v/>
      </c>
    </row>
    <row r="407" spans="1:16">
      <c r="A407" s="15" t="str">
        <f>IF(BillsT[[#This Row],[Item Name]]="","",
-6 + COUNTIF(INDEX(BillsT[Item Name],1):BillsT[[#This Row],[Item Name]],"&lt;&gt;") - 1)</f>
        <v/>
      </c>
      <c r="B407" s="15"/>
      <c r="C407" s="15"/>
      <c r="D407" s="15"/>
      <c r="E407" s="15"/>
      <c r="F407" s="15"/>
      <c r="G407" s="15"/>
      <c r="H407" s="15"/>
      <c r="I407" s="15"/>
      <c r="J407" s="18"/>
      <c r="K407" s="18">
        <f t="shared" si="6"/>
        <v>0</v>
      </c>
      <c r="L407" s="36"/>
      <c r="M407" s="36"/>
      <c r="N407" s="15"/>
      <c r="O407" s="18" t="str">
        <f>IF(BillsT[[#This Row],[Bill Item ID]]="","",(BillsT[[#This Row],[Total Cost]] - SUMIFS(OrderT[Total Cost], OrderT[Bill Item ID], BillsT[[#This Row],[Bill Item ID]])))</f>
        <v/>
      </c>
      <c r="P407" s="15"/>
    </row>
    <row r="408" spans="1:16">
      <c r="A408" t="str">
        <f>IF(BillsT[[#This Row],[Item Name]]="","",
-6 + COUNTIF(INDEX(BillsT[Item Name],1):BillsT[[#This Row],[Item Name]],"&lt;&gt;") - 1)</f>
        <v/>
      </c>
      <c r="K408" s="9">
        <f t="shared" si="6"/>
        <v>0</v>
      </c>
      <c r="L408" s="17"/>
      <c r="M408" s="17"/>
      <c r="O408" s="9" t="str">
        <f>IF(BillsT[[#This Row],[Bill Item ID]]="","",(BillsT[[#This Row],[Total Cost]] - SUMIFS(OrderT[Total Cost], OrderT[Bill Item ID], BillsT[[#This Row],[Bill Item ID]])))</f>
        <v/>
      </c>
    </row>
    <row r="409" spans="1:16">
      <c r="A409" t="str">
        <f>IF(BillsT[[#This Row],[Item Name]]="","",
-6 + COUNTIF(INDEX(BillsT[Item Name],1):BillsT[[#This Row],[Item Name]],"&lt;&gt;") - 1)</f>
        <v/>
      </c>
      <c r="K409" s="9">
        <f t="shared" si="6"/>
        <v>0</v>
      </c>
      <c r="L409" s="17"/>
      <c r="M409" s="17"/>
      <c r="O409" s="9" t="str">
        <f>IF(BillsT[[#This Row],[Bill Item ID]]="","",(BillsT[[#This Row],[Total Cost]] - SUMIFS(OrderT[Total Cost], OrderT[Bill Item ID], BillsT[[#This Row],[Bill Item ID]])))</f>
        <v/>
      </c>
    </row>
    <row r="410" spans="1:16">
      <c r="A410" t="str">
        <f>IF(BillsT[[#This Row],[Item Name]]="","",
-6 + COUNTIF(INDEX(BillsT[Item Name],1):BillsT[[#This Row],[Item Name]],"&lt;&gt;") - 1)</f>
        <v/>
      </c>
      <c r="K410" s="9">
        <f t="shared" si="6"/>
        <v>0</v>
      </c>
      <c r="L410" s="17"/>
      <c r="M410" s="17"/>
      <c r="O410" s="9" t="str">
        <f>IF(BillsT[[#This Row],[Bill Item ID]]="","",(BillsT[[#This Row],[Total Cost]] - SUMIFS(OrderT[Total Cost], OrderT[Bill Item ID], BillsT[[#This Row],[Bill Item ID]])))</f>
        <v/>
      </c>
    </row>
    <row r="411" spans="1:16">
      <c r="A411" t="str">
        <f>IF(BillsT[[#This Row],[Item Name]]="","",
-6 + COUNTIF(INDEX(BillsT[Item Name],1):BillsT[[#This Row],[Item Name]],"&lt;&gt;") - 1)</f>
        <v/>
      </c>
      <c r="K411" s="9">
        <f t="shared" si="6"/>
        <v>0</v>
      </c>
      <c r="L411" s="17"/>
      <c r="M411" s="17"/>
      <c r="O411" s="9" t="str">
        <f>IF(BillsT[[#This Row],[Bill Item ID]]="","",(BillsT[[#This Row],[Total Cost]] - SUMIFS(OrderT[Total Cost], OrderT[Bill Item ID], BillsT[[#This Row],[Bill Item ID]])))</f>
        <v/>
      </c>
    </row>
    <row r="412" spans="1:16">
      <c r="A412" t="str">
        <f>IF(BillsT[[#This Row],[Item Name]]="","",
-6 + COUNTIF(INDEX(BillsT[Item Name],1):BillsT[[#This Row],[Item Name]],"&lt;&gt;") - 1)</f>
        <v/>
      </c>
      <c r="K412" s="9">
        <f t="shared" si="6"/>
        <v>0</v>
      </c>
      <c r="L412" s="17"/>
      <c r="M412" s="17"/>
      <c r="O412" s="9" t="str">
        <f>IF(BillsT[[#This Row],[Bill Item ID]]="","",(BillsT[[#This Row],[Total Cost]] - SUMIFS(OrderT[Total Cost], OrderT[Bill Item ID], BillsT[[#This Row],[Bill Item ID]])))</f>
        <v/>
      </c>
    </row>
    <row r="413" spans="1:16">
      <c r="A413" t="str">
        <f>IF(BillsT[[#This Row],[Item Name]]="","",
-6 + COUNTIF(INDEX(BillsT[Item Name],1):BillsT[[#This Row],[Item Name]],"&lt;&gt;") - 1)</f>
        <v/>
      </c>
      <c r="K413" s="9">
        <f t="shared" si="6"/>
        <v>0</v>
      </c>
      <c r="L413" s="17"/>
      <c r="M413" s="17"/>
      <c r="O413" s="9" t="str">
        <f>IF(BillsT[[#This Row],[Bill Item ID]]="","",(BillsT[[#This Row],[Total Cost]] - SUMIFS(OrderT[Total Cost], OrderT[Bill Item ID], BillsT[[#This Row],[Bill Item ID]])))</f>
        <v/>
      </c>
    </row>
    <row r="414" spans="1:16">
      <c r="A414" t="str">
        <f>IF(BillsT[[#This Row],[Item Name]]="","",
-6 + COUNTIF(INDEX(BillsT[Item Name],1):BillsT[[#This Row],[Item Name]],"&lt;&gt;") - 1)</f>
        <v/>
      </c>
      <c r="K414" s="9">
        <f t="shared" si="6"/>
        <v>0</v>
      </c>
      <c r="L414" s="17"/>
      <c r="M414" s="17"/>
      <c r="O414" s="9" t="str">
        <f>IF(BillsT[[#This Row],[Bill Item ID]]="","",(BillsT[[#This Row],[Total Cost]] - SUMIFS(OrderT[Total Cost], OrderT[Bill Item ID], BillsT[[#This Row],[Bill Item ID]])))</f>
        <v/>
      </c>
    </row>
    <row r="415" spans="1:16">
      <c r="A415" t="str">
        <f>IF(BillsT[[#This Row],[Item Name]]="","",
-6 + COUNTIF(INDEX(BillsT[Item Name],1):BillsT[[#This Row],[Item Name]],"&lt;&gt;") - 1)</f>
        <v/>
      </c>
      <c r="K415" s="9">
        <f t="shared" si="6"/>
        <v>0</v>
      </c>
      <c r="L415" s="17"/>
      <c r="M415" s="17"/>
      <c r="O415" s="9" t="str">
        <f>IF(BillsT[[#This Row],[Bill Item ID]]="","",(BillsT[[#This Row],[Total Cost]] - SUMIFS(OrderT[Total Cost], OrderT[Bill Item ID], BillsT[[#This Row],[Bill Item ID]])))</f>
        <v/>
      </c>
    </row>
    <row r="416" spans="1:16">
      <c r="A416" t="str">
        <f>IF(BillsT[[#This Row],[Item Name]]="","",
-6 + COUNTIF(INDEX(BillsT[Item Name],1):BillsT[[#This Row],[Item Name]],"&lt;&gt;") - 1)</f>
        <v/>
      </c>
      <c r="K416" s="9">
        <f t="shared" si="6"/>
        <v>0</v>
      </c>
      <c r="L416" s="17"/>
      <c r="M416" s="17"/>
      <c r="O416" s="9" t="str">
        <f>IF(BillsT[[#This Row],[Bill Item ID]]="","",(BillsT[[#This Row],[Total Cost]] - SUMIFS(OrderT[Total Cost], OrderT[Bill Item ID], BillsT[[#This Row],[Bill Item ID]])))</f>
        <v/>
      </c>
    </row>
    <row r="417" spans="1:15">
      <c r="A417" t="str">
        <f>IF(BillsT[[#This Row],[Item Name]]="","",
-6 + COUNTIF(INDEX(BillsT[Item Name],1):BillsT[[#This Row],[Item Name]],"&lt;&gt;") - 1)</f>
        <v/>
      </c>
      <c r="K417" s="9">
        <f t="shared" si="6"/>
        <v>0</v>
      </c>
      <c r="L417" s="17"/>
      <c r="M417" s="17"/>
      <c r="O417" s="9" t="str">
        <f>IF(BillsT[[#This Row],[Bill Item ID]]="","",(BillsT[[#This Row],[Total Cost]] - SUMIFS(OrderT[Total Cost], OrderT[Bill Item ID], BillsT[[#This Row],[Bill Item ID]])))</f>
        <v/>
      </c>
    </row>
    <row r="418" spans="1:15">
      <c r="A418" t="str">
        <f>IF(BillsT[[#This Row],[Item Name]]="","",
-6 + COUNTIF(INDEX(BillsT[Item Name],1):BillsT[[#This Row],[Item Name]],"&lt;&gt;") - 1)</f>
        <v/>
      </c>
      <c r="K418" s="9">
        <f t="shared" si="6"/>
        <v>0</v>
      </c>
      <c r="L418" s="17"/>
      <c r="M418" s="17"/>
      <c r="O418" s="9" t="str">
        <f>IF(BillsT[[#This Row],[Bill Item ID]]="","",(BillsT[[#This Row],[Total Cost]] - SUMIFS(OrderT[Total Cost], OrderT[Bill Item ID], BillsT[[#This Row],[Bill Item ID]])))</f>
        <v/>
      </c>
    </row>
    <row r="419" spans="1:15">
      <c r="A419" t="str">
        <f>IF(BillsT[[#This Row],[Item Name]]="","",
-6 + COUNTIF(INDEX(BillsT[Item Name],1):BillsT[[#This Row],[Item Name]],"&lt;&gt;") - 1)</f>
        <v/>
      </c>
      <c r="K419" s="9">
        <f t="shared" si="6"/>
        <v>0</v>
      </c>
      <c r="L419" s="17"/>
      <c r="M419" s="17"/>
      <c r="O419" s="9" t="str">
        <f>IF(BillsT[[#This Row],[Bill Item ID]]="","",(BillsT[[#This Row],[Total Cost]] - SUMIFS(OrderT[Total Cost], OrderT[Bill Item ID], BillsT[[#This Row],[Bill Item ID]])))</f>
        <v/>
      </c>
    </row>
    <row r="420" spans="1:15">
      <c r="A420" t="str">
        <f>IF(BillsT[[#This Row],[Item Name]]="","",
-6 + COUNTIF(INDEX(BillsT[Item Name],1):BillsT[[#This Row],[Item Name]],"&lt;&gt;") - 1)</f>
        <v/>
      </c>
      <c r="K420" s="9">
        <f t="shared" si="6"/>
        <v>0</v>
      </c>
      <c r="L420" s="17"/>
      <c r="M420" s="17"/>
      <c r="O420" s="9" t="str">
        <f>IF(BillsT[[#This Row],[Bill Item ID]]="","",(BillsT[[#This Row],[Total Cost]] - SUMIFS(OrderT[Total Cost], OrderT[Bill Item ID], BillsT[[#This Row],[Bill Item ID]])))</f>
        <v/>
      </c>
    </row>
    <row r="421" spans="1:15">
      <c r="A421" t="str">
        <f>IF(BillsT[[#This Row],[Item Name]]="","",
-6 + COUNTIF(INDEX(BillsT[Item Name],1):BillsT[[#This Row],[Item Name]],"&lt;&gt;") - 1)</f>
        <v/>
      </c>
      <c r="K421" s="9">
        <f t="shared" si="6"/>
        <v>0</v>
      </c>
      <c r="L421" s="17"/>
      <c r="M421" s="17"/>
      <c r="O421" s="9" t="str">
        <f>IF(BillsT[[#This Row],[Bill Item ID]]="","",(BillsT[[#This Row],[Total Cost]] - SUMIFS(OrderT[Total Cost], OrderT[Bill Item ID], BillsT[[#This Row],[Bill Item ID]])))</f>
        <v/>
      </c>
    </row>
    <row r="422" spans="1:15">
      <c r="A422" t="str">
        <f>IF(BillsT[[#This Row],[Item Name]]="","",
-6 + COUNTIF(INDEX(BillsT[Item Name],1):BillsT[[#This Row],[Item Name]],"&lt;&gt;") - 1)</f>
        <v/>
      </c>
      <c r="K422" s="9">
        <f t="shared" si="6"/>
        <v>0</v>
      </c>
      <c r="L422" s="17"/>
      <c r="M422" s="17"/>
      <c r="O422" s="9" t="str">
        <f>IF(BillsT[[#This Row],[Bill Item ID]]="","",(BillsT[[#This Row],[Total Cost]] - SUMIFS(OrderT[Total Cost], OrderT[Bill Item ID], BillsT[[#This Row],[Bill Item ID]])))</f>
        <v/>
      </c>
    </row>
    <row r="423" spans="1:15">
      <c r="A423" t="str">
        <f>IF(BillsT[[#This Row],[Item Name]]="","",
-6 + COUNTIF(INDEX(BillsT[Item Name],1):BillsT[[#This Row],[Item Name]],"&lt;&gt;") - 1)</f>
        <v/>
      </c>
      <c r="K423" s="9">
        <f t="shared" si="6"/>
        <v>0</v>
      </c>
      <c r="L423" s="17"/>
      <c r="M423" s="17"/>
      <c r="O423" s="9" t="str">
        <f>IF(BillsT[[#This Row],[Bill Item ID]]="","",(BillsT[[#This Row],[Total Cost]] - SUMIFS(OrderT[Total Cost], OrderT[Bill Item ID], BillsT[[#This Row],[Bill Item ID]])))</f>
        <v/>
      </c>
    </row>
    <row r="424" spans="1:15">
      <c r="A424" t="str">
        <f>IF(BillsT[[#This Row],[Item Name]]="","",
-6 + COUNTIF(INDEX(BillsT[Item Name],1):BillsT[[#This Row],[Item Name]],"&lt;&gt;") - 1)</f>
        <v/>
      </c>
      <c r="K424" s="9">
        <f t="shared" si="6"/>
        <v>0</v>
      </c>
      <c r="L424" s="17"/>
      <c r="M424" s="17"/>
      <c r="O424" s="9" t="str">
        <f>IF(BillsT[[#This Row],[Bill Item ID]]="","",(BillsT[[#This Row],[Total Cost]] - SUMIFS(OrderT[Total Cost], OrderT[Bill Item ID], BillsT[[#This Row],[Bill Item ID]])))</f>
        <v/>
      </c>
    </row>
    <row r="425" spans="1:15">
      <c r="A425" t="str">
        <f>IF(BillsT[[#This Row],[Item Name]]="","",
-6 + COUNTIF(INDEX(BillsT[Item Name],1):BillsT[[#This Row],[Item Name]],"&lt;&gt;") - 1)</f>
        <v/>
      </c>
      <c r="K425" s="9">
        <f t="shared" si="6"/>
        <v>0</v>
      </c>
      <c r="L425" s="17"/>
      <c r="M425" s="17"/>
      <c r="O425" s="9" t="str">
        <f>IF(BillsT[[#This Row],[Bill Item ID]]="","",(BillsT[[#This Row],[Total Cost]] - SUMIFS(OrderT[Total Cost], OrderT[Bill Item ID], BillsT[[#This Row],[Bill Item ID]])))</f>
        <v/>
      </c>
    </row>
    <row r="426" spans="1:15">
      <c r="A426" t="str">
        <f>IF(BillsT[[#This Row],[Item Name]]="","",
-6 + COUNTIF(INDEX(BillsT[Item Name],1):BillsT[[#This Row],[Item Name]],"&lt;&gt;") - 1)</f>
        <v/>
      </c>
      <c r="K426" s="9">
        <f t="shared" si="6"/>
        <v>0</v>
      </c>
      <c r="L426" s="17"/>
      <c r="M426" s="17"/>
      <c r="O426" s="9" t="str">
        <f>IF(BillsT[[#This Row],[Bill Item ID]]="","",(BillsT[[#This Row],[Total Cost]] - SUMIFS(OrderT[Total Cost], OrderT[Bill Item ID], BillsT[[#This Row],[Bill Item ID]])))</f>
        <v/>
      </c>
    </row>
    <row r="427" spans="1:15">
      <c r="A427" t="str">
        <f>IF(BillsT[[#This Row],[Item Name]]="","",
-6 + COUNTIF(INDEX(BillsT[Item Name],1):BillsT[[#This Row],[Item Name]],"&lt;&gt;") - 1)</f>
        <v/>
      </c>
      <c r="K427" s="9">
        <f t="shared" si="6"/>
        <v>0</v>
      </c>
      <c r="L427" s="17"/>
      <c r="M427" s="17"/>
      <c r="O427" s="9" t="str">
        <f>IF(BillsT[[#This Row],[Bill Item ID]]="","",(BillsT[[#This Row],[Total Cost]] - SUMIFS(OrderT[Total Cost], OrderT[Bill Item ID], BillsT[[#This Row],[Bill Item ID]])))</f>
        <v/>
      </c>
    </row>
    <row r="428" spans="1:15">
      <c r="A428" t="str">
        <f>IF(BillsT[[#This Row],[Item Name]]="","",
-6 + COUNTIF(INDEX(BillsT[Item Name],1):BillsT[[#This Row],[Item Name]],"&lt;&gt;") - 1)</f>
        <v/>
      </c>
      <c r="K428" s="9">
        <f t="shared" si="6"/>
        <v>0</v>
      </c>
      <c r="L428" s="17"/>
      <c r="M428" s="17"/>
      <c r="O428" s="9" t="str">
        <f>IF(BillsT[[#This Row],[Bill Item ID]]="","",(BillsT[[#This Row],[Total Cost]] - SUMIFS(OrderT[Total Cost], OrderT[Bill Item ID], BillsT[[#This Row],[Bill Item ID]])))</f>
        <v/>
      </c>
    </row>
    <row r="429" spans="1:15">
      <c r="A429" t="str">
        <f>IF(BillsT[[#This Row],[Item Name]]="","",
-6 + COUNTIF(INDEX(BillsT[Item Name],1):BillsT[[#This Row],[Item Name]],"&lt;&gt;") - 1)</f>
        <v/>
      </c>
      <c r="K429" s="9">
        <f t="shared" si="6"/>
        <v>0</v>
      </c>
      <c r="L429" s="17"/>
      <c r="M429" s="17"/>
      <c r="O429" s="9" t="str">
        <f>IF(BillsT[[#This Row],[Bill Item ID]]="","",(BillsT[[#This Row],[Total Cost]] - SUMIFS(OrderT[Total Cost], OrderT[Bill Item ID], BillsT[[#This Row],[Bill Item ID]])))</f>
        <v/>
      </c>
    </row>
    <row r="430" spans="1:15">
      <c r="A430" t="str">
        <f>IF(BillsT[[#This Row],[Item Name]]="","",
-6 + COUNTIF(INDEX(BillsT[Item Name],1):BillsT[[#This Row],[Item Name]],"&lt;&gt;") - 1)</f>
        <v/>
      </c>
      <c r="K430" s="9">
        <f t="shared" si="6"/>
        <v>0</v>
      </c>
      <c r="L430" s="17"/>
      <c r="M430" s="17"/>
      <c r="O430" s="9" t="str">
        <f>IF(BillsT[[#This Row],[Bill Item ID]]="","",(BillsT[[#This Row],[Total Cost]] - SUMIFS(OrderT[Total Cost], OrderT[Bill Item ID], BillsT[[#This Row],[Bill Item ID]])))</f>
        <v/>
      </c>
    </row>
    <row r="431" spans="1:15">
      <c r="A431" t="str">
        <f>IF(BillsT[[#This Row],[Item Name]]="","",
-6 + COUNTIF(INDEX(BillsT[Item Name],1):BillsT[[#This Row],[Item Name]],"&lt;&gt;") - 1)</f>
        <v/>
      </c>
      <c r="K431" s="9">
        <f t="shared" si="6"/>
        <v>0</v>
      </c>
      <c r="L431" s="17"/>
      <c r="M431" s="17"/>
      <c r="O431" s="9" t="str">
        <f>IF(BillsT[[#This Row],[Bill Item ID]]="","",(BillsT[[#This Row],[Total Cost]] - SUMIFS(OrderT[Total Cost], OrderT[Bill Item ID], BillsT[[#This Row],[Bill Item ID]])))</f>
        <v/>
      </c>
    </row>
    <row r="432" spans="1:15">
      <c r="A432" t="str">
        <f>IF(BillsT[[#This Row],[Item Name]]="","",
-6 + COUNTIF(INDEX(BillsT[Item Name],1):BillsT[[#This Row],[Item Name]],"&lt;&gt;") - 1)</f>
        <v/>
      </c>
      <c r="K432" s="9">
        <f t="shared" si="6"/>
        <v>0</v>
      </c>
      <c r="L432" s="17"/>
      <c r="M432" s="17"/>
      <c r="O432" s="9" t="str">
        <f>IF(BillsT[[#This Row],[Bill Item ID]]="","",(BillsT[[#This Row],[Total Cost]] - SUMIFS(OrderT[Total Cost], OrderT[Bill Item ID], BillsT[[#This Row],[Bill Item ID]])))</f>
        <v/>
      </c>
    </row>
    <row r="433" spans="1:15">
      <c r="A433" t="str">
        <f>IF(BillsT[[#This Row],[Item Name]]="","",
-6 + COUNTIF(INDEX(BillsT[Item Name],1):BillsT[[#This Row],[Item Name]],"&lt;&gt;") - 1)</f>
        <v/>
      </c>
      <c r="K433" s="9">
        <f t="shared" si="6"/>
        <v>0</v>
      </c>
      <c r="L433" s="17"/>
      <c r="M433" s="17"/>
      <c r="O433" s="9" t="str">
        <f>IF(BillsT[[#This Row],[Bill Item ID]]="","",(BillsT[[#This Row],[Total Cost]] - SUMIFS(OrderT[Total Cost], OrderT[Bill Item ID], BillsT[[#This Row],[Bill Item ID]])))</f>
        <v/>
      </c>
    </row>
    <row r="434" spans="1:15">
      <c r="A434" t="str">
        <f>IF(BillsT[[#This Row],[Item Name]]="","",
-6 + COUNTIF(INDEX(BillsT[Item Name],1):BillsT[[#This Row],[Item Name]],"&lt;&gt;") - 1)</f>
        <v/>
      </c>
      <c r="K434" s="9">
        <f t="shared" si="6"/>
        <v>0</v>
      </c>
      <c r="L434" s="17"/>
      <c r="M434" s="17"/>
      <c r="O434" s="9" t="str">
        <f>IF(BillsT[[#This Row],[Bill Item ID]]="","",(BillsT[[#This Row],[Total Cost]] - SUMIFS(OrderT[Total Cost], OrderT[Bill Item ID], BillsT[[#This Row],[Bill Item ID]])))</f>
        <v/>
      </c>
    </row>
    <row r="435" spans="1:15">
      <c r="A435" t="str">
        <f>IF(BillsT[[#This Row],[Item Name]]="","",
-6 + COUNTIF(INDEX(BillsT[Item Name],1):BillsT[[#This Row],[Item Name]],"&lt;&gt;") - 1)</f>
        <v/>
      </c>
      <c r="K435" s="9">
        <f t="shared" si="6"/>
        <v>0</v>
      </c>
      <c r="L435" s="17"/>
      <c r="M435" s="17"/>
      <c r="O435" s="9" t="str">
        <f>IF(BillsT[[#This Row],[Bill Item ID]]="","",(BillsT[[#This Row],[Total Cost]] - SUMIFS(OrderT[Total Cost], OrderT[Bill Item ID], BillsT[[#This Row],[Bill Item ID]])))</f>
        <v/>
      </c>
    </row>
    <row r="436" spans="1:15">
      <c r="A436" t="str">
        <f>IF(BillsT[[#This Row],[Item Name]]="","",
-6 + COUNTIF(INDEX(BillsT[Item Name],1):BillsT[[#This Row],[Item Name]],"&lt;&gt;") - 1)</f>
        <v/>
      </c>
      <c r="K436" s="9">
        <f t="shared" si="6"/>
        <v>0</v>
      </c>
      <c r="L436" s="17"/>
      <c r="M436" s="17"/>
      <c r="O436" s="9" t="str">
        <f>IF(BillsT[[#This Row],[Bill Item ID]]="","",(BillsT[[#This Row],[Total Cost]] - SUMIFS(OrderT[Total Cost], OrderT[Bill Item ID], BillsT[[#This Row],[Bill Item ID]])))</f>
        <v/>
      </c>
    </row>
    <row r="437" spans="1:15">
      <c r="A437" t="str">
        <f>IF(BillsT[[#This Row],[Item Name]]="","",
-6 + COUNTIF(INDEX(BillsT[Item Name],1):BillsT[[#This Row],[Item Name]],"&lt;&gt;") - 1)</f>
        <v/>
      </c>
      <c r="K437" s="9">
        <f t="shared" si="6"/>
        <v>0</v>
      </c>
      <c r="L437" s="17"/>
      <c r="M437" s="17"/>
      <c r="O437" s="9" t="str">
        <f>IF(BillsT[[#This Row],[Bill Item ID]]="","",(BillsT[[#This Row],[Total Cost]] - SUMIFS(OrderT[Total Cost], OrderT[Bill Item ID], BillsT[[#This Row],[Bill Item ID]])))</f>
        <v/>
      </c>
    </row>
    <row r="438" spans="1:15">
      <c r="A438" t="str">
        <f>IF(BillsT[[#This Row],[Item Name]]="","",
-6 + COUNTIF(INDEX(BillsT[Item Name],1):BillsT[[#This Row],[Item Name]],"&lt;&gt;") - 1)</f>
        <v/>
      </c>
      <c r="K438" s="9">
        <f t="shared" si="6"/>
        <v>0</v>
      </c>
      <c r="L438" s="17"/>
      <c r="M438" s="17"/>
      <c r="O438" s="9" t="str">
        <f>IF(BillsT[[#This Row],[Bill Item ID]]="","",(BillsT[[#This Row],[Total Cost]] - SUMIFS(OrderT[Total Cost], OrderT[Bill Item ID], BillsT[[#This Row],[Bill Item ID]])))</f>
        <v/>
      </c>
    </row>
    <row r="439" spans="1:15">
      <c r="A439" t="str">
        <f>IF(BillsT[[#This Row],[Item Name]]="","",
-6 + COUNTIF(INDEX(BillsT[Item Name],1):BillsT[[#This Row],[Item Name]],"&lt;&gt;") - 1)</f>
        <v/>
      </c>
      <c r="K439" s="9">
        <f t="shared" si="6"/>
        <v>0</v>
      </c>
      <c r="L439" s="17"/>
      <c r="M439" s="17"/>
      <c r="O439" s="9" t="str">
        <f>IF(BillsT[[#This Row],[Bill Item ID]]="","",(BillsT[[#This Row],[Total Cost]] - SUMIFS(OrderT[Total Cost], OrderT[Bill Item ID], BillsT[[#This Row],[Bill Item ID]])))</f>
        <v/>
      </c>
    </row>
    <row r="440" spans="1:15">
      <c r="A440" t="str">
        <f>IF(BillsT[[#This Row],[Item Name]]="","",
-6 + COUNTIF(INDEX(BillsT[Item Name],1):BillsT[[#This Row],[Item Name]],"&lt;&gt;") - 1)</f>
        <v/>
      </c>
      <c r="K440" s="9">
        <f t="shared" si="6"/>
        <v>0</v>
      </c>
      <c r="L440" s="17"/>
      <c r="M440" s="17"/>
      <c r="O440" s="9" t="str">
        <f>IF(BillsT[[#This Row],[Bill Item ID]]="","",(BillsT[[#This Row],[Total Cost]] - SUMIFS(OrderT[Total Cost], OrderT[Bill Item ID], BillsT[[#This Row],[Bill Item ID]])))</f>
        <v/>
      </c>
    </row>
    <row r="441" spans="1:15">
      <c r="A441" t="str">
        <f>IF(BillsT[[#This Row],[Item Name]]="","",
-6 + COUNTIF(INDEX(BillsT[Item Name],1):BillsT[[#This Row],[Item Name]],"&lt;&gt;") - 1)</f>
        <v/>
      </c>
      <c r="K441" s="9">
        <f t="shared" si="6"/>
        <v>0</v>
      </c>
      <c r="L441" s="17"/>
      <c r="M441" s="17"/>
      <c r="O441" s="9" t="str">
        <f>IF(BillsT[[#This Row],[Bill Item ID]]="","",(BillsT[[#This Row],[Total Cost]] - SUMIFS(OrderT[Total Cost], OrderT[Bill Item ID], BillsT[[#This Row],[Bill Item ID]])))</f>
        <v/>
      </c>
    </row>
    <row r="442" spans="1:15">
      <c r="A442" t="str">
        <f>IF(BillsT[[#This Row],[Item Name]]="","",
-6 + COUNTIF(INDEX(BillsT[Item Name],1):BillsT[[#This Row],[Item Name]],"&lt;&gt;") - 1)</f>
        <v/>
      </c>
      <c r="K442" s="9">
        <f t="shared" si="6"/>
        <v>0</v>
      </c>
      <c r="L442" s="17"/>
      <c r="M442" s="17"/>
      <c r="O442" s="9" t="str">
        <f>IF(BillsT[[#This Row],[Bill Item ID]]="","",(BillsT[[#This Row],[Total Cost]] - SUMIFS(OrderT[Total Cost], OrderT[Bill Item ID], BillsT[[#This Row],[Bill Item ID]])))</f>
        <v/>
      </c>
    </row>
    <row r="443" spans="1:15">
      <c r="A443" t="str">
        <f>IF(BillsT[[#This Row],[Item Name]]="","",
-6 + COUNTIF(INDEX(BillsT[Item Name],1):BillsT[[#This Row],[Item Name]],"&lt;&gt;") - 1)</f>
        <v/>
      </c>
      <c r="K443" s="9">
        <f t="shared" si="6"/>
        <v>0</v>
      </c>
      <c r="L443" s="17"/>
      <c r="M443" s="17"/>
      <c r="O443" s="9" t="str">
        <f>IF(BillsT[[#This Row],[Bill Item ID]]="","",(BillsT[[#This Row],[Total Cost]] - SUMIFS(OrderT[Total Cost], OrderT[Bill Item ID], BillsT[[#This Row],[Bill Item ID]])))</f>
        <v/>
      </c>
    </row>
    <row r="444" spans="1:15">
      <c r="A444" t="str">
        <f>IF(BillsT[[#This Row],[Item Name]]="","",
-6 + COUNTIF(INDEX(BillsT[Item Name],1):BillsT[[#This Row],[Item Name]],"&lt;&gt;") - 1)</f>
        <v/>
      </c>
      <c r="K444" s="9">
        <f t="shared" si="6"/>
        <v>0</v>
      </c>
      <c r="L444" s="17"/>
      <c r="M444" s="17"/>
      <c r="O444" s="9" t="str">
        <f>IF(BillsT[[#This Row],[Bill Item ID]]="","",(BillsT[[#This Row],[Total Cost]] - SUMIFS(OrderT[Total Cost], OrderT[Bill Item ID], BillsT[[#This Row],[Bill Item ID]])))</f>
        <v/>
      </c>
    </row>
    <row r="445" spans="1:15">
      <c r="A445" t="str">
        <f>IF(BillsT[[#This Row],[Item Name]]="","",
-6 + COUNTIF(INDEX(BillsT[Item Name],1):BillsT[[#This Row],[Item Name]],"&lt;&gt;") - 1)</f>
        <v/>
      </c>
      <c r="K445" s="9">
        <f t="shared" si="6"/>
        <v>0</v>
      </c>
      <c r="L445" s="17"/>
      <c r="M445" s="17"/>
      <c r="O445" s="9" t="str">
        <f>IF(BillsT[[#This Row],[Bill Item ID]]="","",(BillsT[[#This Row],[Total Cost]] - SUMIFS(OrderT[Total Cost], OrderT[Bill Item ID], BillsT[[#This Row],[Bill Item ID]])))</f>
        <v/>
      </c>
    </row>
    <row r="446" spans="1:15">
      <c r="A446" t="str">
        <f>IF(BillsT[[#This Row],[Item Name]]="","",
-6 + COUNTIF(INDEX(BillsT[Item Name],1):BillsT[[#This Row],[Item Name]],"&lt;&gt;") - 1)</f>
        <v/>
      </c>
      <c r="K446" s="9">
        <f t="shared" si="6"/>
        <v>0</v>
      </c>
      <c r="L446" s="17"/>
      <c r="M446" s="17"/>
      <c r="O446" s="9" t="str">
        <f>IF(BillsT[[#This Row],[Bill Item ID]]="","",(BillsT[[#This Row],[Total Cost]] - SUMIFS(OrderT[Total Cost], OrderT[Bill Item ID], BillsT[[#This Row],[Bill Item ID]])))</f>
        <v/>
      </c>
    </row>
    <row r="447" spans="1:15">
      <c r="A447" t="str">
        <f>IF(BillsT[[#This Row],[Item Name]]="","",
-6 + COUNTIF(INDEX(BillsT[Item Name],1):BillsT[[#This Row],[Item Name]],"&lt;&gt;") - 1)</f>
        <v/>
      </c>
      <c r="K447" s="9">
        <f t="shared" si="6"/>
        <v>0</v>
      </c>
      <c r="L447" s="17"/>
      <c r="M447" s="17"/>
      <c r="O447" s="9" t="str">
        <f>IF(BillsT[[#This Row],[Bill Item ID]]="","",(BillsT[[#This Row],[Total Cost]] - SUMIFS(OrderT[Total Cost], OrderT[Bill Item ID], BillsT[[#This Row],[Bill Item ID]])))</f>
        <v/>
      </c>
    </row>
    <row r="448" spans="1:15">
      <c r="A448" t="str">
        <f>IF(BillsT[[#This Row],[Item Name]]="","",
-6 + COUNTIF(INDEX(BillsT[Item Name],1):BillsT[[#This Row],[Item Name]],"&lt;&gt;") - 1)</f>
        <v/>
      </c>
      <c r="K448" s="9">
        <f t="shared" si="6"/>
        <v>0</v>
      </c>
      <c r="L448" s="17"/>
      <c r="M448" s="17"/>
      <c r="O448" s="9" t="str">
        <f>IF(BillsT[[#This Row],[Bill Item ID]]="","",(BillsT[[#This Row],[Total Cost]] - SUMIFS(OrderT[Total Cost], OrderT[Bill Item ID], BillsT[[#This Row],[Bill Item ID]])))</f>
        <v/>
      </c>
    </row>
    <row r="449" spans="1:15">
      <c r="A449" t="str">
        <f>IF(BillsT[[#This Row],[Item Name]]="","",
-6 + COUNTIF(INDEX(BillsT[Item Name],1):BillsT[[#This Row],[Item Name]],"&lt;&gt;") - 1)</f>
        <v/>
      </c>
      <c r="K449" s="9">
        <f t="shared" si="6"/>
        <v>0</v>
      </c>
      <c r="L449" s="17"/>
      <c r="M449" s="17"/>
      <c r="O449" s="9" t="str">
        <f>IF(BillsT[[#This Row],[Bill Item ID]]="","",(BillsT[[#This Row],[Total Cost]] - SUMIFS(OrderT[Total Cost], OrderT[Bill Item ID], BillsT[[#This Row],[Bill Item ID]])))</f>
        <v/>
      </c>
    </row>
    <row r="450" spans="1:15">
      <c r="A450" t="str">
        <f>IF(BillsT[[#This Row],[Item Name]]="","",
-6 + COUNTIF(INDEX(BillsT[Item Name],1):BillsT[[#This Row],[Item Name]],"&lt;&gt;") - 1)</f>
        <v/>
      </c>
      <c r="K450" s="9">
        <f t="shared" si="6"/>
        <v>0</v>
      </c>
      <c r="L450" s="17"/>
      <c r="M450" s="17"/>
      <c r="O450" s="9" t="str">
        <f>IF(BillsT[[#This Row],[Bill Item ID]]="","",(BillsT[[#This Row],[Total Cost]] - SUMIFS(OrderT[Total Cost], OrderT[Bill Item ID], BillsT[[#This Row],[Bill Item ID]])))</f>
        <v/>
      </c>
    </row>
    <row r="451" spans="1:15">
      <c r="A451" t="str">
        <f>IF(BillsT[[#This Row],[Item Name]]="","",
-6 + COUNTIF(INDEX(BillsT[Item Name],1):BillsT[[#This Row],[Item Name]],"&lt;&gt;") - 1)</f>
        <v/>
      </c>
      <c r="K451" s="9">
        <f t="shared" ref="K451:K508" si="7">J451*I451</f>
        <v>0</v>
      </c>
      <c r="L451" s="17"/>
      <c r="M451" s="17"/>
      <c r="O451" s="9" t="str">
        <f>IF(BillsT[[#This Row],[Bill Item ID]]="","",(BillsT[[#This Row],[Total Cost]] - SUMIFS(OrderT[Total Cost], OrderT[Bill Item ID], BillsT[[#This Row],[Bill Item ID]])))</f>
        <v/>
      </c>
    </row>
    <row r="452" spans="1:15">
      <c r="A452" t="str">
        <f>IF(BillsT[[#This Row],[Item Name]]="","",
-6 + COUNTIF(INDEX(BillsT[Item Name],1):BillsT[[#This Row],[Item Name]],"&lt;&gt;") - 1)</f>
        <v/>
      </c>
      <c r="K452" s="9">
        <f t="shared" si="7"/>
        <v>0</v>
      </c>
      <c r="L452" s="17"/>
      <c r="M452" s="17"/>
      <c r="O452" s="9" t="str">
        <f>IF(BillsT[[#This Row],[Bill Item ID]]="","",(BillsT[[#This Row],[Total Cost]] - SUMIFS(OrderT[Total Cost], OrderT[Bill Item ID], BillsT[[#This Row],[Bill Item ID]])))</f>
        <v/>
      </c>
    </row>
    <row r="453" spans="1:15">
      <c r="A453" t="str">
        <f>IF(BillsT[[#This Row],[Item Name]]="","",
-6 + COUNTIF(INDEX(BillsT[Item Name],1):BillsT[[#This Row],[Item Name]],"&lt;&gt;") - 1)</f>
        <v/>
      </c>
      <c r="K453" s="9">
        <f t="shared" si="7"/>
        <v>0</v>
      </c>
      <c r="L453" s="17"/>
      <c r="M453" s="17"/>
      <c r="O453" s="9" t="str">
        <f>IF(BillsT[[#This Row],[Bill Item ID]]="","",(BillsT[[#This Row],[Total Cost]] - SUMIFS(OrderT[Total Cost], OrderT[Bill Item ID], BillsT[[#This Row],[Bill Item ID]])))</f>
        <v/>
      </c>
    </row>
    <row r="454" spans="1:15">
      <c r="A454" t="str">
        <f>IF(BillsT[[#This Row],[Item Name]]="","",
-6 + COUNTIF(INDEX(BillsT[Item Name],1):BillsT[[#This Row],[Item Name]],"&lt;&gt;") - 1)</f>
        <v/>
      </c>
      <c r="K454" s="9">
        <f t="shared" si="7"/>
        <v>0</v>
      </c>
      <c r="L454" s="17"/>
      <c r="M454" s="17"/>
      <c r="O454" s="9" t="str">
        <f>IF(BillsT[[#This Row],[Bill Item ID]]="","",(BillsT[[#This Row],[Total Cost]] - SUMIFS(OrderT[Total Cost], OrderT[Bill Item ID], BillsT[[#This Row],[Bill Item ID]])))</f>
        <v/>
      </c>
    </row>
    <row r="455" spans="1:15">
      <c r="A455" t="str">
        <f>IF(BillsT[[#This Row],[Item Name]]="","",
-6 + COUNTIF(INDEX(BillsT[Item Name],1):BillsT[[#This Row],[Item Name]],"&lt;&gt;") - 1)</f>
        <v/>
      </c>
      <c r="K455" s="9">
        <f t="shared" si="7"/>
        <v>0</v>
      </c>
      <c r="L455" s="17"/>
      <c r="M455" s="17"/>
      <c r="O455" s="9" t="str">
        <f>IF(BillsT[[#This Row],[Bill Item ID]]="","",(BillsT[[#This Row],[Total Cost]] - SUMIFS(OrderT[Total Cost], OrderT[Bill Item ID], BillsT[[#This Row],[Bill Item ID]])))</f>
        <v/>
      </c>
    </row>
    <row r="456" spans="1:15">
      <c r="A456" t="str">
        <f>IF(BillsT[[#This Row],[Item Name]]="","",
-6 + COUNTIF(INDEX(BillsT[Item Name],1):BillsT[[#This Row],[Item Name]],"&lt;&gt;") - 1)</f>
        <v/>
      </c>
      <c r="K456" s="9">
        <f t="shared" si="7"/>
        <v>0</v>
      </c>
      <c r="L456" s="17"/>
      <c r="M456" s="17"/>
      <c r="O456" s="9" t="str">
        <f>IF(BillsT[[#This Row],[Bill Item ID]]="","",(BillsT[[#This Row],[Total Cost]] - SUMIFS(OrderT[Total Cost], OrderT[Bill Item ID], BillsT[[#This Row],[Bill Item ID]])))</f>
        <v/>
      </c>
    </row>
    <row r="457" spans="1:15">
      <c r="A457" t="str">
        <f>IF(BillsT[[#This Row],[Item Name]]="","",
-6 + COUNTIF(INDEX(BillsT[Item Name],1):BillsT[[#This Row],[Item Name]],"&lt;&gt;") - 1)</f>
        <v/>
      </c>
      <c r="K457" s="9">
        <f t="shared" si="7"/>
        <v>0</v>
      </c>
      <c r="L457" s="17"/>
      <c r="M457" s="17"/>
      <c r="O457" s="9" t="str">
        <f>IF(BillsT[[#This Row],[Bill Item ID]]="","",(BillsT[[#This Row],[Total Cost]] - SUMIFS(OrderT[Total Cost], OrderT[Bill Item ID], BillsT[[#This Row],[Bill Item ID]])))</f>
        <v/>
      </c>
    </row>
    <row r="458" spans="1:15">
      <c r="A458" t="str">
        <f>IF(BillsT[[#This Row],[Item Name]]="","",
-6 + COUNTIF(INDEX(BillsT[Item Name],1):BillsT[[#This Row],[Item Name]],"&lt;&gt;") - 1)</f>
        <v/>
      </c>
      <c r="K458" s="9">
        <f t="shared" si="7"/>
        <v>0</v>
      </c>
      <c r="L458" s="17"/>
      <c r="M458" s="17"/>
      <c r="O458" s="9" t="str">
        <f>IF(BillsT[[#This Row],[Bill Item ID]]="","",(BillsT[[#This Row],[Total Cost]] - SUMIFS(OrderT[Total Cost], OrderT[Bill Item ID], BillsT[[#This Row],[Bill Item ID]])))</f>
        <v/>
      </c>
    </row>
    <row r="459" spans="1:15">
      <c r="A459" t="str">
        <f>IF(BillsT[[#This Row],[Item Name]]="","",
-6 + COUNTIF(INDEX(BillsT[Item Name],1):BillsT[[#This Row],[Item Name]],"&lt;&gt;") - 1)</f>
        <v/>
      </c>
      <c r="K459" s="9">
        <f t="shared" si="7"/>
        <v>0</v>
      </c>
      <c r="L459" s="17"/>
      <c r="M459" s="17"/>
      <c r="O459" s="9" t="str">
        <f>IF(BillsT[[#This Row],[Bill Item ID]]="","",(BillsT[[#This Row],[Total Cost]] - SUMIFS(OrderT[Total Cost], OrderT[Bill Item ID], BillsT[[#This Row],[Bill Item ID]])))</f>
        <v/>
      </c>
    </row>
    <row r="460" spans="1:15">
      <c r="A460" t="str">
        <f>IF(BillsT[[#This Row],[Item Name]]="","",
-6 + COUNTIF(INDEX(BillsT[Item Name],1):BillsT[[#This Row],[Item Name]],"&lt;&gt;") - 1)</f>
        <v/>
      </c>
      <c r="K460" s="9">
        <f t="shared" si="7"/>
        <v>0</v>
      </c>
      <c r="L460" s="17"/>
      <c r="M460" s="17"/>
      <c r="O460" s="9" t="str">
        <f>IF(BillsT[[#This Row],[Bill Item ID]]="","",(BillsT[[#This Row],[Total Cost]] - SUMIFS(OrderT[Total Cost], OrderT[Bill Item ID], BillsT[[#This Row],[Bill Item ID]])))</f>
        <v/>
      </c>
    </row>
    <row r="461" spans="1:15">
      <c r="A461" t="str">
        <f>IF(BillsT[[#This Row],[Item Name]]="","",
-6 + COUNTIF(INDEX(BillsT[Item Name],1):BillsT[[#This Row],[Item Name]],"&lt;&gt;") - 1)</f>
        <v/>
      </c>
      <c r="K461" s="9">
        <f t="shared" si="7"/>
        <v>0</v>
      </c>
      <c r="L461" s="17"/>
      <c r="M461" s="17"/>
      <c r="O461" s="9" t="str">
        <f>IF(BillsT[[#This Row],[Bill Item ID]]="","",(BillsT[[#This Row],[Total Cost]] - SUMIFS(OrderT[Total Cost], OrderT[Bill Item ID], BillsT[[#This Row],[Bill Item ID]])))</f>
        <v/>
      </c>
    </row>
    <row r="462" spans="1:15">
      <c r="A462" t="str">
        <f>IF(BillsT[[#This Row],[Item Name]]="","",
-6 + COUNTIF(INDEX(BillsT[Item Name],1):BillsT[[#This Row],[Item Name]],"&lt;&gt;") - 1)</f>
        <v/>
      </c>
      <c r="K462" s="9">
        <f t="shared" si="7"/>
        <v>0</v>
      </c>
      <c r="L462" s="17"/>
      <c r="M462" s="17"/>
      <c r="O462" s="9" t="str">
        <f>IF(BillsT[[#This Row],[Bill Item ID]]="","",(BillsT[[#This Row],[Total Cost]] - SUMIFS(OrderT[Total Cost], OrderT[Bill Item ID], BillsT[[#This Row],[Bill Item ID]])))</f>
        <v/>
      </c>
    </row>
    <row r="463" spans="1:15">
      <c r="A463" t="str">
        <f>IF(BillsT[[#This Row],[Item Name]]="","",
-6 + COUNTIF(INDEX(BillsT[Item Name],1):BillsT[[#This Row],[Item Name]],"&lt;&gt;") - 1)</f>
        <v/>
      </c>
      <c r="K463" s="9">
        <f t="shared" si="7"/>
        <v>0</v>
      </c>
      <c r="L463" s="17"/>
      <c r="M463" s="17"/>
      <c r="O463" s="9" t="str">
        <f>IF(BillsT[[#This Row],[Bill Item ID]]="","",(BillsT[[#This Row],[Total Cost]] - SUMIFS(OrderT[Total Cost], OrderT[Bill Item ID], BillsT[[#This Row],[Bill Item ID]])))</f>
        <v/>
      </c>
    </row>
    <row r="464" spans="1:15">
      <c r="A464" t="str">
        <f>IF(BillsT[[#This Row],[Item Name]]="","",
-6 + COUNTIF(INDEX(BillsT[Item Name],1):BillsT[[#This Row],[Item Name]],"&lt;&gt;") - 1)</f>
        <v/>
      </c>
      <c r="K464" s="9">
        <f t="shared" si="7"/>
        <v>0</v>
      </c>
      <c r="L464" s="17"/>
      <c r="M464" s="17"/>
      <c r="O464" s="9" t="str">
        <f>IF(BillsT[[#This Row],[Bill Item ID]]="","",(BillsT[[#This Row],[Total Cost]] - SUMIFS(OrderT[Total Cost], OrderT[Bill Item ID], BillsT[[#This Row],[Bill Item ID]])))</f>
        <v/>
      </c>
    </row>
    <row r="465" spans="1:15">
      <c r="A465" t="str">
        <f>IF(BillsT[[#This Row],[Item Name]]="","",
-6 + COUNTIF(INDEX(BillsT[Item Name],1):BillsT[[#This Row],[Item Name]],"&lt;&gt;") - 1)</f>
        <v/>
      </c>
      <c r="K465" s="9">
        <f t="shared" si="7"/>
        <v>0</v>
      </c>
      <c r="L465" s="17"/>
      <c r="M465" s="17"/>
      <c r="O465" s="9" t="str">
        <f>IF(BillsT[[#This Row],[Bill Item ID]]="","",(BillsT[[#This Row],[Total Cost]] - SUMIFS(OrderT[Total Cost], OrderT[Bill Item ID], BillsT[[#This Row],[Bill Item ID]])))</f>
        <v/>
      </c>
    </row>
    <row r="466" spans="1:15">
      <c r="A466" t="str">
        <f>IF(BillsT[[#This Row],[Item Name]]="","",
-6 + COUNTIF(INDEX(BillsT[Item Name],1):BillsT[[#This Row],[Item Name]],"&lt;&gt;") - 1)</f>
        <v/>
      </c>
      <c r="K466" s="9">
        <f t="shared" si="7"/>
        <v>0</v>
      </c>
      <c r="L466" s="17"/>
      <c r="M466" s="17"/>
      <c r="O466" s="9" t="str">
        <f>IF(BillsT[[#This Row],[Bill Item ID]]="","",(BillsT[[#This Row],[Total Cost]] - SUMIFS(OrderT[Total Cost], OrderT[Bill Item ID], BillsT[[#This Row],[Bill Item ID]])))</f>
        <v/>
      </c>
    </row>
    <row r="467" spans="1:15">
      <c r="A467" t="str">
        <f>IF(BillsT[[#This Row],[Item Name]]="","",
-6 + COUNTIF(INDEX(BillsT[Item Name],1):BillsT[[#This Row],[Item Name]],"&lt;&gt;") - 1)</f>
        <v/>
      </c>
      <c r="K467" s="9">
        <f t="shared" si="7"/>
        <v>0</v>
      </c>
      <c r="L467" s="17"/>
      <c r="M467" s="17"/>
      <c r="O467" s="9" t="str">
        <f>IF(BillsT[[#This Row],[Bill Item ID]]="","",(BillsT[[#This Row],[Total Cost]] - SUMIFS(OrderT[Total Cost], OrderT[Bill Item ID], BillsT[[#This Row],[Bill Item ID]])))</f>
        <v/>
      </c>
    </row>
    <row r="468" spans="1:15">
      <c r="A468" t="str">
        <f>IF(BillsT[[#This Row],[Item Name]]="","",
-6 + COUNTIF(INDEX(BillsT[Item Name],1):BillsT[[#This Row],[Item Name]],"&lt;&gt;") - 1)</f>
        <v/>
      </c>
      <c r="K468" s="9">
        <f t="shared" si="7"/>
        <v>0</v>
      </c>
      <c r="L468" s="17"/>
      <c r="M468" s="17"/>
      <c r="O468" s="9" t="str">
        <f>IF(BillsT[[#This Row],[Bill Item ID]]="","",(BillsT[[#This Row],[Total Cost]] - SUMIFS(OrderT[Total Cost], OrderT[Bill Item ID], BillsT[[#This Row],[Bill Item ID]])))</f>
        <v/>
      </c>
    </row>
    <row r="469" spans="1:15">
      <c r="A469" t="str">
        <f>IF(BillsT[[#This Row],[Item Name]]="","",
-6 + COUNTIF(INDEX(BillsT[Item Name],1):BillsT[[#This Row],[Item Name]],"&lt;&gt;") - 1)</f>
        <v/>
      </c>
      <c r="K469" s="9">
        <f t="shared" si="7"/>
        <v>0</v>
      </c>
      <c r="L469" s="17"/>
      <c r="M469" s="17"/>
      <c r="O469" s="9" t="str">
        <f>IF(BillsT[[#This Row],[Bill Item ID]]="","",(BillsT[[#This Row],[Total Cost]] - SUMIFS(OrderT[Total Cost], OrderT[Bill Item ID], BillsT[[#This Row],[Bill Item ID]])))</f>
        <v/>
      </c>
    </row>
    <row r="470" spans="1:15">
      <c r="A470" t="str">
        <f>IF(BillsT[[#This Row],[Item Name]]="","",
-6 + COUNTIF(INDEX(BillsT[Item Name],1):BillsT[[#This Row],[Item Name]],"&lt;&gt;") - 1)</f>
        <v/>
      </c>
      <c r="K470" s="9">
        <f t="shared" si="7"/>
        <v>0</v>
      </c>
      <c r="L470" s="17"/>
      <c r="M470" s="17"/>
      <c r="O470" s="9" t="str">
        <f>IF(BillsT[[#This Row],[Bill Item ID]]="","",(BillsT[[#This Row],[Total Cost]] - SUMIFS(OrderT[Total Cost], OrderT[Bill Item ID], BillsT[[#This Row],[Bill Item ID]])))</f>
        <v/>
      </c>
    </row>
    <row r="471" spans="1:15">
      <c r="A471" t="str">
        <f>IF(BillsT[[#This Row],[Item Name]]="","",
-6 + COUNTIF(INDEX(BillsT[Item Name],1):BillsT[[#This Row],[Item Name]],"&lt;&gt;") - 1)</f>
        <v/>
      </c>
      <c r="K471" s="9">
        <f t="shared" si="7"/>
        <v>0</v>
      </c>
      <c r="L471" s="17"/>
      <c r="M471" s="17"/>
      <c r="O471" s="9" t="str">
        <f>IF(BillsT[[#This Row],[Bill Item ID]]="","",(BillsT[[#This Row],[Total Cost]] - SUMIFS(OrderT[Total Cost], OrderT[Bill Item ID], BillsT[[#This Row],[Bill Item ID]])))</f>
        <v/>
      </c>
    </row>
    <row r="472" spans="1:15">
      <c r="A472" t="str">
        <f>IF(BillsT[[#This Row],[Item Name]]="","",
-6 + COUNTIF(INDEX(BillsT[Item Name],1):BillsT[[#This Row],[Item Name]],"&lt;&gt;") - 1)</f>
        <v/>
      </c>
      <c r="K472" s="9">
        <f t="shared" si="7"/>
        <v>0</v>
      </c>
      <c r="L472" s="17"/>
      <c r="M472" s="17"/>
      <c r="O472" s="9" t="str">
        <f>IF(BillsT[[#This Row],[Bill Item ID]]="","",(BillsT[[#This Row],[Total Cost]] - SUMIFS(OrderT[Total Cost], OrderT[Bill Item ID], BillsT[[#This Row],[Bill Item ID]])))</f>
        <v/>
      </c>
    </row>
    <row r="473" spans="1:15">
      <c r="A473" t="str">
        <f>IF(BillsT[[#This Row],[Item Name]]="","",
-6 + COUNTIF(INDEX(BillsT[Item Name],1):BillsT[[#This Row],[Item Name]],"&lt;&gt;") - 1)</f>
        <v/>
      </c>
      <c r="K473" s="9">
        <f t="shared" si="7"/>
        <v>0</v>
      </c>
      <c r="L473" s="17"/>
      <c r="M473" s="17"/>
      <c r="O473" s="9" t="str">
        <f>IF(BillsT[[#This Row],[Bill Item ID]]="","",(BillsT[[#This Row],[Total Cost]] - SUMIFS(OrderT[Total Cost], OrderT[Bill Item ID], BillsT[[#This Row],[Bill Item ID]])))</f>
        <v/>
      </c>
    </row>
    <row r="474" spans="1:15">
      <c r="A474" t="str">
        <f>IF(BillsT[[#This Row],[Item Name]]="","",
-6 + COUNTIF(INDEX(BillsT[Item Name],1):BillsT[[#This Row],[Item Name]],"&lt;&gt;") - 1)</f>
        <v/>
      </c>
      <c r="K474" s="9">
        <f t="shared" si="7"/>
        <v>0</v>
      </c>
      <c r="L474" s="17"/>
      <c r="M474" s="17"/>
      <c r="O474" s="9" t="str">
        <f>IF(BillsT[[#This Row],[Bill Item ID]]="","",(BillsT[[#This Row],[Total Cost]] - SUMIFS(OrderT[Total Cost], OrderT[Bill Item ID], BillsT[[#This Row],[Bill Item ID]])))</f>
        <v/>
      </c>
    </row>
    <row r="475" spans="1:15">
      <c r="A475" t="str">
        <f>IF(BillsT[[#This Row],[Item Name]]="","",
-6 + COUNTIF(INDEX(BillsT[Item Name],1):BillsT[[#This Row],[Item Name]],"&lt;&gt;") - 1)</f>
        <v/>
      </c>
      <c r="K475" s="9">
        <f t="shared" si="7"/>
        <v>0</v>
      </c>
      <c r="L475" s="17"/>
      <c r="M475" s="17"/>
      <c r="O475" s="9" t="str">
        <f>IF(BillsT[[#This Row],[Bill Item ID]]="","",(BillsT[[#This Row],[Total Cost]] - SUMIFS(OrderT[Total Cost], OrderT[Bill Item ID], BillsT[[#This Row],[Bill Item ID]])))</f>
        <v/>
      </c>
    </row>
    <row r="476" spans="1:15">
      <c r="A476" t="str">
        <f>IF(BillsT[[#This Row],[Item Name]]="","",
-6 + COUNTIF(INDEX(BillsT[Item Name],1):BillsT[[#This Row],[Item Name]],"&lt;&gt;") - 1)</f>
        <v/>
      </c>
      <c r="K476" s="9">
        <f t="shared" si="7"/>
        <v>0</v>
      </c>
      <c r="L476" s="17"/>
      <c r="M476" s="17"/>
      <c r="O476" s="9" t="str">
        <f>IF(BillsT[[#This Row],[Bill Item ID]]="","",(BillsT[[#This Row],[Total Cost]] - SUMIFS(OrderT[Total Cost], OrderT[Bill Item ID], BillsT[[#This Row],[Bill Item ID]])))</f>
        <v/>
      </c>
    </row>
    <row r="477" spans="1:15">
      <c r="A477" t="str">
        <f>IF(BillsT[[#This Row],[Item Name]]="","",
-6 + COUNTIF(INDEX(BillsT[Item Name],1):BillsT[[#This Row],[Item Name]],"&lt;&gt;") - 1)</f>
        <v/>
      </c>
      <c r="K477" s="9">
        <f t="shared" si="7"/>
        <v>0</v>
      </c>
      <c r="L477" s="17"/>
      <c r="M477" s="17"/>
      <c r="O477" s="9" t="str">
        <f>IF(BillsT[[#This Row],[Bill Item ID]]="","",(BillsT[[#This Row],[Total Cost]] - SUMIFS(OrderT[Total Cost], OrderT[Bill Item ID], BillsT[[#This Row],[Bill Item ID]])))</f>
        <v/>
      </c>
    </row>
    <row r="478" spans="1:15">
      <c r="A478" t="str">
        <f>IF(BillsT[[#This Row],[Item Name]]="","",
-6 + COUNTIF(INDEX(BillsT[Item Name],1):BillsT[[#This Row],[Item Name]],"&lt;&gt;") - 1)</f>
        <v/>
      </c>
      <c r="K478" s="9">
        <f t="shared" si="7"/>
        <v>0</v>
      </c>
      <c r="L478" s="17"/>
      <c r="M478" s="17"/>
      <c r="O478" s="9" t="str">
        <f>IF(BillsT[[#This Row],[Bill Item ID]]="","",(BillsT[[#This Row],[Total Cost]] - SUMIFS(OrderT[Total Cost], OrderT[Bill Item ID], BillsT[[#This Row],[Bill Item ID]])))</f>
        <v/>
      </c>
    </row>
    <row r="479" spans="1:15">
      <c r="A479" t="str">
        <f>IF(BillsT[[#This Row],[Item Name]]="","",
-6 + COUNTIF(INDEX(BillsT[Item Name],1):BillsT[[#This Row],[Item Name]],"&lt;&gt;") - 1)</f>
        <v/>
      </c>
      <c r="K479" s="9">
        <f t="shared" si="7"/>
        <v>0</v>
      </c>
      <c r="L479" s="17"/>
      <c r="M479" s="17"/>
      <c r="O479" s="9" t="str">
        <f>IF(BillsT[[#This Row],[Bill Item ID]]="","",(BillsT[[#This Row],[Total Cost]] - SUMIFS(OrderT[Total Cost], OrderT[Bill Item ID], BillsT[[#This Row],[Bill Item ID]])))</f>
        <v/>
      </c>
    </row>
    <row r="480" spans="1:15">
      <c r="A480" t="str">
        <f>IF(BillsT[[#This Row],[Item Name]]="","",
-6 + COUNTIF(INDEX(BillsT[Item Name],1):BillsT[[#This Row],[Item Name]],"&lt;&gt;") - 1)</f>
        <v/>
      </c>
      <c r="K480" s="9">
        <f t="shared" si="7"/>
        <v>0</v>
      </c>
      <c r="L480" s="17"/>
      <c r="M480" s="17"/>
      <c r="O480" s="9" t="str">
        <f>IF(BillsT[[#This Row],[Bill Item ID]]="","",(BillsT[[#This Row],[Total Cost]] - SUMIFS(OrderT[Total Cost], OrderT[Bill Item ID], BillsT[[#This Row],[Bill Item ID]])))</f>
        <v/>
      </c>
    </row>
    <row r="481" spans="1:15">
      <c r="A481" t="str">
        <f>IF(BillsT[[#This Row],[Item Name]]="","",
-6 + COUNTIF(INDEX(BillsT[Item Name],1):BillsT[[#This Row],[Item Name]],"&lt;&gt;") - 1)</f>
        <v/>
      </c>
      <c r="K481" s="9">
        <f t="shared" si="7"/>
        <v>0</v>
      </c>
      <c r="L481" s="17"/>
      <c r="M481" s="17"/>
      <c r="O481" s="9" t="str">
        <f>IF(BillsT[[#This Row],[Bill Item ID]]="","",(BillsT[[#This Row],[Total Cost]] - SUMIFS(OrderT[Total Cost], OrderT[Bill Item ID], BillsT[[#This Row],[Bill Item ID]])))</f>
        <v/>
      </c>
    </row>
    <row r="482" spans="1:15">
      <c r="A482" t="str">
        <f>IF(BillsT[[#This Row],[Item Name]]="","",
-6 + COUNTIF(INDEX(BillsT[Item Name],1):BillsT[[#This Row],[Item Name]],"&lt;&gt;") - 1)</f>
        <v/>
      </c>
      <c r="K482" s="9">
        <f t="shared" si="7"/>
        <v>0</v>
      </c>
      <c r="L482" s="17"/>
      <c r="M482" s="17"/>
      <c r="O482" s="9" t="str">
        <f>IF(BillsT[[#This Row],[Bill Item ID]]="","",(BillsT[[#This Row],[Total Cost]] - SUMIFS(OrderT[Total Cost], OrderT[Bill Item ID], BillsT[[#This Row],[Bill Item ID]])))</f>
        <v/>
      </c>
    </row>
    <row r="483" spans="1:15">
      <c r="A483" t="str">
        <f>IF(BillsT[[#This Row],[Item Name]]="","",
-6 + COUNTIF(INDEX(BillsT[Item Name],1):BillsT[[#This Row],[Item Name]],"&lt;&gt;") - 1)</f>
        <v/>
      </c>
      <c r="K483" s="9">
        <f t="shared" si="7"/>
        <v>0</v>
      </c>
      <c r="L483" s="17"/>
      <c r="M483" s="17"/>
      <c r="O483" s="9" t="str">
        <f>IF(BillsT[[#This Row],[Bill Item ID]]="","",(BillsT[[#This Row],[Total Cost]] - SUMIFS(OrderT[Total Cost], OrderT[Bill Item ID], BillsT[[#This Row],[Bill Item ID]])))</f>
        <v/>
      </c>
    </row>
    <row r="484" spans="1:15">
      <c r="A484" t="str">
        <f>IF(BillsT[[#This Row],[Item Name]]="","",
-6 + COUNTIF(INDEX(BillsT[Item Name],1):BillsT[[#This Row],[Item Name]],"&lt;&gt;") - 1)</f>
        <v/>
      </c>
      <c r="K484" s="9">
        <f t="shared" si="7"/>
        <v>0</v>
      </c>
      <c r="L484" s="17"/>
      <c r="M484" s="17"/>
      <c r="O484" s="9" t="str">
        <f>IF(BillsT[[#This Row],[Bill Item ID]]="","",(BillsT[[#This Row],[Total Cost]] - SUMIFS(OrderT[Total Cost], OrderT[Bill Item ID], BillsT[[#This Row],[Bill Item ID]])))</f>
        <v/>
      </c>
    </row>
    <row r="485" spans="1:15">
      <c r="A485" t="str">
        <f>IF(BillsT[[#This Row],[Item Name]]="","",
-6 + COUNTIF(INDEX(BillsT[Item Name],1):BillsT[[#This Row],[Item Name]],"&lt;&gt;") - 1)</f>
        <v/>
      </c>
      <c r="K485" s="9">
        <f t="shared" si="7"/>
        <v>0</v>
      </c>
      <c r="L485" s="17"/>
      <c r="M485" s="17"/>
      <c r="O485" s="9" t="str">
        <f>IF(BillsT[[#This Row],[Bill Item ID]]="","",(BillsT[[#This Row],[Total Cost]] - SUMIFS(OrderT[Total Cost], OrderT[Bill Item ID], BillsT[[#This Row],[Bill Item ID]])))</f>
        <v/>
      </c>
    </row>
    <row r="486" spans="1:15">
      <c r="A486" t="str">
        <f>IF(BillsT[[#This Row],[Item Name]]="","",
-6 + COUNTIF(INDEX(BillsT[Item Name],1):BillsT[[#This Row],[Item Name]],"&lt;&gt;") - 1)</f>
        <v/>
      </c>
      <c r="K486" s="9">
        <f t="shared" si="7"/>
        <v>0</v>
      </c>
      <c r="L486" s="17"/>
      <c r="M486" s="17"/>
      <c r="O486" s="9" t="str">
        <f>IF(BillsT[[#This Row],[Bill Item ID]]="","",(BillsT[[#This Row],[Total Cost]] - SUMIFS(OrderT[Total Cost], OrderT[Bill Item ID], BillsT[[#This Row],[Bill Item ID]])))</f>
        <v/>
      </c>
    </row>
    <row r="487" spans="1:15">
      <c r="A487" t="str">
        <f>IF(BillsT[[#This Row],[Item Name]]="","",
-6 + COUNTIF(INDEX(BillsT[Item Name],1):BillsT[[#This Row],[Item Name]],"&lt;&gt;") - 1)</f>
        <v/>
      </c>
      <c r="K487" s="9">
        <f t="shared" si="7"/>
        <v>0</v>
      </c>
      <c r="L487" s="17"/>
      <c r="M487" s="17"/>
      <c r="O487" s="9" t="str">
        <f>IF(BillsT[[#This Row],[Bill Item ID]]="","",(BillsT[[#This Row],[Total Cost]] - SUMIFS(OrderT[Total Cost], OrderT[Bill Item ID], BillsT[[#This Row],[Bill Item ID]])))</f>
        <v/>
      </c>
    </row>
    <row r="488" spans="1:15">
      <c r="A488" t="str">
        <f>IF(BillsT[[#This Row],[Item Name]]="","",
-6 + COUNTIF(INDEX(BillsT[Item Name],1):BillsT[[#This Row],[Item Name]],"&lt;&gt;") - 1)</f>
        <v/>
      </c>
      <c r="K488" s="9">
        <f t="shared" si="7"/>
        <v>0</v>
      </c>
      <c r="L488" s="17"/>
      <c r="M488" s="17"/>
      <c r="O488" s="9" t="str">
        <f>IF(BillsT[[#This Row],[Bill Item ID]]="","",(BillsT[[#This Row],[Total Cost]] - SUMIFS(OrderT[Total Cost], OrderT[Bill Item ID], BillsT[[#This Row],[Bill Item ID]])))</f>
        <v/>
      </c>
    </row>
    <row r="489" spans="1:15">
      <c r="A489" t="str">
        <f>IF(BillsT[[#This Row],[Item Name]]="","",
-6 + COUNTIF(INDEX(BillsT[Item Name],1):BillsT[[#This Row],[Item Name]],"&lt;&gt;") - 1)</f>
        <v/>
      </c>
      <c r="K489" s="9">
        <f t="shared" si="7"/>
        <v>0</v>
      </c>
      <c r="L489" s="17"/>
      <c r="M489" s="17"/>
      <c r="O489" s="9" t="str">
        <f>IF(BillsT[[#This Row],[Bill Item ID]]="","",(BillsT[[#This Row],[Total Cost]] - SUMIFS(OrderT[Total Cost], OrderT[Bill Item ID], BillsT[[#This Row],[Bill Item ID]])))</f>
        <v/>
      </c>
    </row>
    <row r="490" spans="1:15">
      <c r="A490" t="str">
        <f>IF(BillsT[[#This Row],[Item Name]]="","",
-6 + COUNTIF(INDEX(BillsT[Item Name],1):BillsT[[#This Row],[Item Name]],"&lt;&gt;") - 1)</f>
        <v/>
      </c>
      <c r="K490" s="9">
        <f t="shared" si="7"/>
        <v>0</v>
      </c>
      <c r="L490" s="17"/>
      <c r="M490" s="17"/>
      <c r="O490" s="9" t="str">
        <f>IF(BillsT[[#This Row],[Bill Item ID]]="","",(BillsT[[#This Row],[Total Cost]] - SUMIFS(OrderT[Total Cost], OrderT[Bill Item ID], BillsT[[#This Row],[Bill Item ID]])))</f>
        <v/>
      </c>
    </row>
    <row r="491" spans="1:15">
      <c r="A491" t="str">
        <f>IF(BillsT[[#This Row],[Item Name]]="","",
-6 + COUNTIF(INDEX(BillsT[Item Name],1):BillsT[[#This Row],[Item Name]],"&lt;&gt;") - 1)</f>
        <v/>
      </c>
      <c r="K491" s="9">
        <f t="shared" si="7"/>
        <v>0</v>
      </c>
      <c r="L491" s="17"/>
      <c r="M491" s="17"/>
      <c r="O491" s="9" t="str">
        <f>IF(BillsT[[#This Row],[Bill Item ID]]="","",(BillsT[[#This Row],[Total Cost]] - SUMIFS(OrderT[Total Cost], OrderT[Bill Item ID], BillsT[[#This Row],[Bill Item ID]])))</f>
        <v/>
      </c>
    </row>
    <row r="492" spans="1:15">
      <c r="A492" t="str">
        <f>IF(BillsT[[#This Row],[Item Name]]="","",
-6 + COUNTIF(INDEX(BillsT[Item Name],1):BillsT[[#This Row],[Item Name]],"&lt;&gt;") - 1)</f>
        <v/>
      </c>
      <c r="K492" s="9">
        <f t="shared" si="7"/>
        <v>0</v>
      </c>
      <c r="L492" s="17"/>
      <c r="M492" s="17"/>
      <c r="O492" s="9" t="str">
        <f>IF(BillsT[[#This Row],[Bill Item ID]]="","",(BillsT[[#This Row],[Total Cost]] - SUMIFS(OrderT[Total Cost], OrderT[Bill Item ID], BillsT[[#This Row],[Bill Item ID]])))</f>
        <v/>
      </c>
    </row>
    <row r="493" spans="1:15">
      <c r="A493" t="str">
        <f>IF(BillsT[[#This Row],[Item Name]]="","",
-6 + COUNTIF(INDEX(BillsT[Item Name],1):BillsT[[#This Row],[Item Name]],"&lt;&gt;") - 1)</f>
        <v/>
      </c>
      <c r="K493" s="9">
        <f t="shared" si="7"/>
        <v>0</v>
      </c>
      <c r="L493" s="17"/>
      <c r="M493" s="17"/>
      <c r="O493" s="9" t="str">
        <f>IF(BillsT[[#This Row],[Bill Item ID]]="","",(BillsT[[#This Row],[Total Cost]] - SUMIFS(OrderT[Total Cost], OrderT[Bill Item ID], BillsT[[#This Row],[Bill Item ID]])))</f>
        <v/>
      </c>
    </row>
    <row r="494" spans="1:15">
      <c r="A494" t="str">
        <f>IF(BillsT[[#This Row],[Item Name]]="","",
-6 + COUNTIF(INDEX(BillsT[Item Name],1):BillsT[[#This Row],[Item Name]],"&lt;&gt;") - 1)</f>
        <v/>
      </c>
      <c r="K494" s="9">
        <f t="shared" si="7"/>
        <v>0</v>
      </c>
      <c r="L494" s="17"/>
      <c r="M494" s="17"/>
      <c r="O494" s="9" t="str">
        <f>IF(BillsT[[#This Row],[Bill Item ID]]="","",(BillsT[[#This Row],[Total Cost]] - SUMIFS(OrderT[Total Cost], OrderT[Bill Item ID], BillsT[[#This Row],[Bill Item ID]])))</f>
        <v/>
      </c>
    </row>
    <row r="495" spans="1:15">
      <c r="A495" t="str">
        <f>IF(BillsT[[#This Row],[Item Name]]="","",
-6 + COUNTIF(INDEX(BillsT[Item Name],1):BillsT[[#This Row],[Item Name]],"&lt;&gt;") - 1)</f>
        <v/>
      </c>
      <c r="K495" s="9">
        <f t="shared" si="7"/>
        <v>0</v>
      </c>
      <c r="L495" s="17"/>
      <c r="M495" s="17"/>
      <c r="O495" s="9" t="str">
        <f>IF(BillsT[[#This Row],[Bill Item ID]]="","",(BillsT[[#This Row],[Total Cost]] - SUMIFS(OrderT[Total Cost], OrderT[Bill Item ID], BillsT[[#This Row],[Bill Item ID]])))</f>
        <v/>
      </c>
    </row>
    <row r="496" spans="1:15">
      <c r="A496" t="str">
        <f>IF(BillsT[[#This Row],[Item Name]]="","",
-6 + COUNTIF(INDEX(BillsT[Item Name],1):BillsT[[#This Row],[Item Name]],"&lt;&gt;") - 1)</f>
        <v/>
      </c>
      <c r="K496" s="9">
        <f t="shared" si="7"/>
        <v>0</v>
      </c>
      <c r="L496" s="17"/>
      <c r="M496" s="17"/>
      <c r="O496" s="9" t="str">
        <f>IF(BillsT[[#This Row],[Bill Item ID]]="","",(BillsT[[#This Row],[Total Cost]] - SUMIFS(OrderT[Total Cost], OrderT[Bill Item ID], BillsT[[#This Row],[Bill Item ID]])))</f>
        <v/>
      </c>
    </row>
    <row r="497" spans="1:15">
      <c r="A497" t="str">
        <f>IF(BillsT[[#This Row],[Item Name]]="","",
-6 + COUNTIF(INDEX(BillsT[Item Name],1):BillsT[[#This Row],[Item Name]],"&lt;&gt;") - 1)</f>
        <v/>
      </c>
      <c r="K497" s="9">
        <f t="shared" si="7"/>
        <v>0</v>
      </c>
      <c r="L497" s="17"/>
      <c r="M497" s="17"/>
      <c r="O497" s="9" t="str">
        <f>IF(BillsT[[#This Row],[Bill Item ID]]="","",(BillsT[[#This Row],[Total Cost]] - SUMIFS(OrderT[Total Cost], OrderT[Bill Item ID], BillsT[[#This Row],[Bill Item ID]])))</f>
        <v/>
      </c>
    </row>
    <row r="498" spans="1:15">
      <c r="A498" t="str">
        <f>IF(BillsT[[#This Row],[Item Name]]="","",
-6 + COUNTIF(INDEX(BillsT[Item Name],1):BillsT[[#This Row],[Item Name]],"&lt;&gt;") - 1)</f>
        <v/>
      </c>
      <c r="K498" s="9">
        <f t="shared" si="7"/>
        <v>0</v>
      </c>
      <c r="L498" s="17"/>
      <c r="M498" s="17"/>
      <c r="O498" s="9" t="str">
        <f>IF(BillsT[[#This Row],[Bill Item ID]]="","",(BillsT[[#This Row],[Total Cost]] - SUMIFS(OrderT[Total Cost], OrderT[Bill Item ID], BillsT[[#This Row],[Bill Item ID]])))</f>
        <v/>
      </c>
    </row>
    <row r="499" spans="1:15">
      <c r="A499" t="str">
        <f>IF(BillsT[[#This Row],[Item Name]]="","",
-6 + COUNTIF(INDEX(BillsT[Item Name],1):BillsT[[#This Row],[Item Name]],"&lt;&gt;") - 1)</f>
        <v/>
      </c>
      <c r="K499" s="9">
        <f t="shared" si="7"/>
        <v>0</v>
      </c>
      <c r="L499" s="17"/>
      <c r="M499" s="17"/>
      <c r="O499" s="9" t="str">
        <f>IF(BillsT[[#This Row],[Bill Item ID]]="","",(BillsT[[#This Row],[Total Cost]] - SUMIFS(OrderT[Total Cost], OrderT[Bill Item ID], BillsT[[#This Row],[Bill Item ID]])))</f>
        <v/>
      </c>
    </row>
    <row r="500" spans="1:15">
      <c r="A500" t="str">
        <f>IF(BillsT[[#This Row],[Item Name]]="","",
-6 + COUNTIF(INDEX(BillsT[Item Name],1):BillsT[[#This Row],[Item Name]],"&lt;&gt;") - 1)</f>
        <v/>
      </c>
      <c r="K500" s="9">
        <f t="shared" si="7"/>
        <v>0</v>
      </c>
      <c r="L500" s="17"/>
      <c r="M500" s="17"/>
      <c r="O500" s="9" t="str">
        <f>IF(BillsT[[#This Row],[Bill Item ID]]="","",(BillsT[[#This Row],[Total Cost]] - SUMIFS(OrderT[Total Cost], OrderT[Bill Item ID], BillsT[[#This Row],[Bill Item ID]])))</f>
        <v/>
      </c>
    </row>
    <row r="501" spans="1:15">
      <c r="A501" t="str">
        <f>IF(BillsT[[#This Row],[Item Name]]="","",
-6 + COUNTIF(INDEX(BillsT[Item Name],1):BillsT[[#This Row],[Item Name]],"&lt;&gt;") - 1)</f>
        <v/>
      </c>
      <c r="K501" s="9">
        <f t="shared" si="7"/>
        <v>0</v>
      </c>
      <c r="L501" s="17"/>
      <c r="M501" s="17"/>
      <c r="O501" s="9" t="str">
        <f>IF(BillsT[[#This Row],[Bill Item ID]]="","",(BillsT[[#This Row],[Total Cost]] - SUMIFS(OrderT[Total Cost], OrderT[Bill Item ID], BillsT[[#This Row],[Bill Item ID]])))</f>
        <v/>
      </c>
    </row>
    <row r="502" spans="1:15">
      <c r="A502" t="str">
        <f>IF(BillsT[[#This Row],[Item Name]]="","",
-6 + COUNTIF(INDEX(BillsT[Item Name],1):BillsT[[#This Row],[Item Name]],"&lt;&gt;") - 1)</f>
        <v/>
      </c>
      <c r="K502" s="9">
        <f t="shared" si="7"/>
        <v>0</v>
      </c>
      <c r="L502" s="17"/>
      <c r="M502" s="17"/>
      <c r="O502" s="9" t="str">
        <f>IF(BillsT[[#This Row],[Bill Item ID]]="","",(BillsT[[#This Row],[Total Cost]] - SUMIFS(OrderT[Total Cost], OrderT[Bill Item ID], BillsT[[#This Row],[Bill Item ID]])))</f>
        <v/>
      </c>
    </row>
    <row r="503" spans="1:15">
      <c r="A503" t="str">
        <f>IF(BillsT[[#This Row],[Item Name]]="","",
-6 + COUNTIF(INDEX(BillsT[Item Name],1):BillsT[[#This Row],[Item Name]],"&lt;&gt;") - 1)</f>
        <v/>
      </c>
      <c r="K503" s="9">
        <f t="shared" si="7"/>
        <v>0</v>
      </c>
      <c r="L503" s="17"/>
      <c r="M503" s="17"/>
      <c r="O503" s="9" t="str">
        <f>IF(BillsT[[#This Row],[Bill Item ID]]="","",(BillsT[[#This Row],[Total Cost]] - SUMIFS(OrderT[Total Cost], OrderT[Bill Item ID], BillsT[[#This Row],[Bill Item ID]])))</f>
        <v/>
      </c>
    </row>
    <row r="504" spans="1:15">
      <c r="A504" t="str">
        <f>IF(BillsT[[#This Row],[Item Name]]="","",
-6 + COUNTIF(INDEX(BillsT[Item Name],1):BillsT[[#This Row],[Item Name]],"&lt;&gt;") - 1)</f>
        <v/>
      </c>
      <c r="K504" s="9">
        <f t="shared" si="7"/>
        <v>0</v>
      </c>
      <c r="L504" s="17"/>
      <c r="M504" s="17"/>
      <c r="O504" s="9" t="str">
        <f>IF(BillsT[[#This Row],[Bill Item ID]]="","",(BillsT[[#This Row],[Total Cost]] - SUMIFS(OrderT[Total Cost], OrderT[Bill Item ID], BillsT[[#This Row],[Bill Item ID]])))</f>
        <v/>
      </c>
    </row>
    <row r="505" spans="1:15">
      <c r="A505" t="str">
        <f>IF(BillsT[[#This Row],[Item Name]]="","",
-6 + COUNTIF(INDEX(BillsT[Item Name],1):BillsT[[#This Row],[Item Name]],"&lt;&gt;") - 1)</f>
        <v/>
      </c>
      <c r="K505" s="9">
        <f t="shared" si="7"/>
        <v>0</v>
      </c>
      <c r="L505" s="17"/>
      <c r="M505" s="17"/>
      <c r="O505" s="9" t="str">
        <f>IF(BillsT[[#This Row],[Bill Item ID]]="","",(BillsT[[#This Row],[Total Cost]] - SUMIFS(OrderT[Total Cost], OrderT[Bill Item ID], BillsT[[#This Row],[Bill Item ID]])))</f>
        <v/>
      </c>
    </row>
    <row r="506" spans="1:15">
      <c r="A506" t="str">
        <f>IF(BillsT[[#This Row],[Item Name]]="","",
-6 + COUNTIF(INDEX(BillsT[Item Name],1):BillsT[[#This Row],[Item Name]],"&lt;&gt;") - 1)</f>
        <v/>
      </c>
      <c r="K506" s="9">
        <f t="shared" si="7"/>
        <v>0</v>
      </c>
      <c r="L506" s="17"/>
      <c r="M506" s="17"/>
      <c r="O506" s="9" t="str">
        <f>IF(BillsT[[#This Row],[Bill Item ID]]="","",(BillsT[[#This Row],[Total Cost]] - SUMIFS(OrderT[Total Cost], OrderT[Bill Item ID], BillsT[[#This Row],[Bill Item ID]])))</f>
        <v/>
      </c>
    </row>
    <row r="507" spans="1:15">
      <c r="A507" t="str">
        <f>IF(BillsT[[#This Row],[Item Name]]="","",
-6 + COUNTIF(INDEX(BillsT[Item Name],1):BillsT[[#This Row],[Item Name]],"&lt;&gt;") - 1)</f>
        <v/>
      </c>
      <c r="K507" s="9">
        <f t="shared" si="7"/>
        <v>0</v>
      </c>
      <c r="L507" s="17"/>
      <c r="M507" s="17"/>
      <c r="O507" s="9" t="str">
        <f>IF(BillsT[[#This Row],[Bill Item ID]]="","",(BillsT[[#This Row],[Total Cost]] - SUMIFS(OrderT[Total Cost], OrderT[Bill Item ID], BillsT[[#This Row],[Bill Item ID]])))</f>
        <v/>
      </c>
    </row>
    <row r="508" spans="1:15">
      <c r="A508" t="str">
        <f>IF(BillsT[[#This Row],[Item Name]]="","",
-6 + COUNTIF(INDEX(BillsT[Item Name],1):BillsT[[#This Row],[Item Name]],"&lt;&gt;") - 1)</f>
        <v/>
      </c>
      <c r="K508" s="9">
        <f t="shared" si="7"/>
        <v>0</v>
      </c>
      <c r="L508" s="17"/>
      <c r="M508" s="17"/>
      <c r="O508" s="9" t="str">
        <f>IF(BillsT[[#This Row],[Bill Item ID]]="","",(BillsT[[#This Row],[Total Cost]] - SUMIFS(OrderT[Total Cost], OrderT[Bill Item ID], BillsT[[#This Row],[Bill Item ID]])))</f>
        <v/>
      </c>
    </row>
  </sheetData>
  <conditionalFormatting sqref="A1 A4:A1048576">
    <cfRule type="duplicateValues" dxfId="69" priority="406"/>
  </conditionalFormatting>
  <conditionalFormatting sqref="F239">
    <cfRule type="cellIs" dxfId="68" priority="35" operator="equal">
      <formula>"review requested"</formula>
    </cfRule>
    <cfRule type="cellIs" dxfId="67" priority="36" operator="equal">
      <formula>"arrived"</formula>
    </cfRule>
    <cfRule type="containsText" dxfId="66" priority="37" operator="containsText" text="pending purchase">
      <formula>NOT(ISERROR(SEARCH("pending purchase",F239)))</formula>
    </cfRule>
  </conditionalFormatting>
  <conditionalFormatting sqref="H10 H15:H16 H63:H64 G86:G97 G98:H108 G109:G149 G153:G154 G156:G170 G172 G201:G205 G206:H206 G211:H211 G212:G235 G237:G241 H365 H369:H370 H51:H61 G51:G84 G386:G1048576 H39:H49 G1:G49">
    <cfRule type="cellIs" dxfId="65" priority="217" operator="equal">
      <formula>"mcmaster"</formula>
    </cfRule>
    <cfRule type="cellIs" dxfId="64" priority="223" operator="equal">
      <formula>"mouser"</formula>
    </cfRule>
  </conditionalFormatting>
  <conditionalFormatting sqref="H15:H16 H63:H64 G86:G97 G98:H108 G109:G149 G153:G154 G156:G170 G172 G201:G205 G206:H206 G211:H211 G212:G235 G237:G241 H365 H369:H370 H51:H61 G51:G84 G386:G1048576 H39:H49 G1:G49">
    <cfRule type="cellIs" dxfId="63" priority="218" operator="equal">
      <formula>"amazon"</formula>
    </cfRule>
  </conditionalFormatting>
  <conditionalFormatting sqref="G176:G199 G223:H235 G287:G310 G344:G385">
    <cfRule type="cellIs" dxfId="62" priority="181" operator="equal">
      <formula>"mcmaster"</formula>
    </cfRule>
    <cfRule type="cellIs" dxfId="61" priority="182" operator="equal">
      <formula>"amazon"</formula>
    </cfRule>
    <cfRule type="cellIs" dxfId="60" priority="183" operator="equal">
      <formula>"mouser"</formula>
    </cfRule>
  </conditionalFormatting>
  <conditionalFormatting sqref="G207:G210">
    <cfRule type="cellIs" dxfId="59" priority="95" operator="equal">
      <formula>"mcmaster"</formula>
    </cfRule>
    <cfRule type="cellIs" dxfId="58" priority="96" operator="equal">
      <formula>"amazon"</formula>
    </cfRule>
    <cfRule type="cellIs" dxfId="57" priority="97" operator="equal">
      <formula>"mouser"</formula>
    </cfRule>
  </conditionalFormatting>
  <conditionalFormatting sqref="G251:G273 G314:G340">
    <cfRule type="cellIs" dxfId="56" priority="76" operator="equal">
      <formula>"mcmaster"</formula>
    </cfRule>
    <cfRule type="cellIs" dxfId="55" priority="77" operator="equal">
      <formula>"amazon"</formula>
    </cfRule>
    <cfRule type="cellIs" dxfId="54" priority="78" operator="equal">
      <formula>"mouser"</formula>
    </cfRule>
  </conditionalFormatting>
  <conditionalFormatting sqref="G200:H200">
    <cfRule type="cellIs" dxfId="53" priority="111" operator="equal">
      <formula>"mcmaster"</formula>
    </cfRule>
    <cfRule type="cellIs" dxfId="52" priority="112" operator="equal">
      <formula>"amazon"</formula>
    </cfRule>
    <cfRule type="cellIs" dxfId="51" priority="113" operator="equal">
      <formula>"mouser"</formula>
    </cfRule>
  </conditionalFormatting>
  <conditionalFormatting sqref="E1:E1048576">
    <cfRule type="cellIs" dxfId="50" priority="3" operator="equal">
      <formula>"bill approved"</formula>
    </cfRule>
  </conditionalFormatting>
  <conditionalFormatting sqref="E1:E1048576">
    <cfRule type="containsText" dxfId="49" priority="2" operator="containsText" text="bill requested">
      <formula>NOT(ISERROR(SEARCH("bill requested",E1)))</formula>
    </cfRule>
  </conditionalFormatting>
  <conditionalFormatting sqref="E1:E1048576">
    <cfRule type="containsText" dxfId="48" priority="1" operator="containsText" text="bill submitted">
      <formula>NOT(ISERROR(SEARCH("bill submitted",E1)))</formula>
    </cfRule>
  </conditionalFormatting>
  <hyperlinks>
    <hyperlink ref="L24" r:id="rId1" xr:uid="{00000000-0004-0000-0000-000000000000}"/>
    <hyperlink ref="L25" r:id="rId2" xr:uid="{00000000-0004-0000-0000-000001000000}"/>
    <hyperlink ref="L26" r:id="rId3" xr:uid="{00000000-0004-0000-0000-000002000000}"/>
    <hyperlink ref="L27" r:id="rId4" xr:uid="{00000000-0004-0000-0000-000003000000}"/>
    <hyperlink ref="L28" r:id="rId5" xr:uid="{00000000-0004-0000-0000-000004000000}"/>
    <hyperlink ref="L29" r:id="rId6" location="overlay" xr:uid="{00000000-0004-0000-0000-000005000000}"/>
    <hyperlink ref="L30" r:id="rId7" location="overlay" xr:uid="{00000000-0004-0000-0000-000006000000}"/>
    <hyperlink ref="L31" r:id="rId8" xr:uid="{00000000-0004-0000-0000-000007000000}"/>
    <hyperlink ref="L32" r:id="rId9" xr:uid="{00000000-0004-0000-0000-000008000000}"/>
    <hyperlink ref="L33" r:id="rId10" xr:uid="{00000000-0004-0000-0000-000009000000}"/>
    <hyperlink ref="L34" r:id="rId11" xr:uid="{00000000-0004-0000-0000-00000A000000}"/>
    <hyperlink ref="L35" r:id="rId12" xr:uid="{00000000-0004-0000-0000-00000B000000}"/>
    <hyperlink ref="L37" r:id="rId13" xr:uid="{00000000-0004-0000-0000-00000C000000}"/>
    <hyperlink ref="L38" r:id="rId14" xr:uid="{00000000-0004-0000-0000-00000D000000}"/>
    <hyperlink ref="L39" r:id="rId15" display="https://www.amazon.com/sprookber-Stainless-Carabiner-Outdoor-Hammock/dp/B0FDQX3244/ref=sxin_18_pa_sp_search_thematic_sspa?content-id=amzn1.sym.8eb671a2-a903-4c3a-b962-ebb867a4f8f8%3Aamzn1.sym.8eb671a2-a903-4c3a-b962-ebb867a4f8f8&amp;crid=3MYVCEFK7HK1X&amp;cv_ct_cx=stainless%2Bsteel%2Bcarabiners%2Bmarine%2Bgrade&amp;keywords=stainless%2Bsteel%2Bcarabiners%2Bmarine%2Bgrade&amp;pd_rd_i=B0FDQX871F&amp;pd_rd_r=a5552fd8-b23c-4b4c-a99f-ebc1dc73634d&amp;pd_rd_w=DYDBC&amp;pd_rd_wg=lLBqU&amp;pf_rd_p=8eb671a2-a903-4c3a-b962-ebb867a4f8f8&amp;pf_rd_r=E8WV36H38SR1YHNJ5SMB&amp;qid=1785963950&amp;sbo=RZvfv%2F%2FHxDF%2BO5021pAnSA%3D%3D&amp;sprefix=carabiners%2Bmarine%2Bstainless%2Bs%2Caps%2C218&amp;sr=1-1-6024b2a3-78e4-4fed-8fed-e1613be3bcce-spons&amp;aref=ZLjRwj2JdK&amp;sp_csd=d2lkZ2V0TmFtZT1zcF9zZWFyY2hfdGhlbWF0aWM&amp;th=1" xr:uid="{00000000-0004-0000-0000-00000E000000}"/>
    <hyperlink ref="L41" r:id="rId16" display="https://www.amazon.com/EVTIME-Emergency-Traction-Mats-Portable-Sand-Used/dp/B08D88V17G/ref=sr_1_1_sspa?crid=DDB4U17NHXXD&amp;dib=eyJ2IjoiMSJ9.ZcuxtLHgHdHkAi6hl3Dkos084vbg53g0K4i72Y9OfU62_ouUKam2uyd4xBolVX22VSUHreKbdheW9aDbECPcpKefCqNAAGfRZRvtiG4rVzygf8MH9jUm01zf6uzpZNGbmCNjIwyNssP1vygnDrG1C8KB4Zz4MVnET2TMk-kOG9LOy8ezIDoIyCQ6Vf8j07k8zGEtm6J9BGtRWzspkqQhwiYoxZk3iSEATb6CW42Kjrc.BZdBcDLD5A-SYz_QnWyM_8Ukuy21MZrkQTXxNEdEX4I&amp;dib_tag=se&amp;keywords=traction+mats&amp;qid=1785964756&amp;sprefix=traction+mat%2Caps%2C238&amp;sr=8-1-spons&amp;sp_csd=d2lkZ2V0TmFtZT1zcF9hdGY&amp;psc=1" xr:uid="{00000000-0004-0000-0000-00000F000000}"/>
    <hyperlink ref="L42" r:id="rId17" display="https://www.amazon.com/Polypropylene-Ropes-Strength-Clothesrope-Activities/dp/B0FN32Q4QB/ref=sxin_18_pa_sp_search_thematic_sspa?content-id=amzn1.sym.8eb671a2-a903-4c3a-b962-ebb867a4f8f8%3Aamzn1.sym.8eb671a2-a903-4c3a-b962-ebb867a4f8f8&amp;crid=9LNTUSKWDL8R&amp;cv_ct_cx=twisted%2Bnylon%2Brope%2B1%2F4%2Bin&amp;keywords=twisted%2Bnylon%2Brope%2B1%2F4%2Bin&amp;pd_rd_i=B0BTS1N2G6&amp;pd_rd_r=a57fd4f4-c5f4-4ab2-83ec-5f94497eeb64&amp;pd_rd_w=mSxTf&amp;pd_rd_wg=9NChd&amp;pf_rd_p=8eb671a2-a903-4c3a-b962-ebb867a4f8f8&amp;pf_rd_r=6WJKGD96JKJ1E042H3ME&amp;qid=1785962932&amp;sbo=RZvfv%2F%2FHxDF%2BO5021pAnSA%3D%3D&amp;sprefix=twisted%2Bnylon%2Brope%2B1%2F4%2Bin%2Caps%2C191&amp;sr=1-1-6024b2a3-78e4-4fed-8fed-e1613be3bcce-spons&amp;aref=CiGaNFJvzd&amp;sp_csd=d2lkZ2V0TmFtZT1zcF9zZWFyY2hfdGhlbWF0aWM&amp;th=1" xr:uid="{00000000-0004-0000-0000-000010000000}"/>
    <hyperlink ref="L44" r:id="rId18" xr:uid="{00000000-0004-0000-0000-000012000000}"/>
    <hyperlink ref="L45" r:id="rId19" display="https://www.amazon.com/Hydrospike-Super-Sprayer-Watering-Moisturizer/dp/B00BIU5QPU/ref=sr_1_2?crid=3SEI7JB2A6PD5&amp;dib=eyJ2IjoiMSJ9.GvclpYerhQkkNUXNfPYgoAZcsvO-Pwkvh76xFus2iK3RsnSJN3MRasnALxnd5tcHaeAoguHdIxVM0jZYm6VosvucXdmTpXfLWxi7RFQKMDEFMyDcVjOaKRUqRmcGIzii7wUe-n3nrsDc4kgfzUQ4Po4kHuSClqkqZBEJinGPJedDv6srmQKBDZozL0jPUnWAidPYD7qlrIAbvfJ6TrWTHvlxWWZXpmcDe3H6lNUOXh-yb-HudcBg7DsCaZBMqmO1A4kJ1mX7yDE6AlcuuM0wyLIWYO_2XgpjsrpJuQV7uYg.HgIEUKcJYHvh0hW0qVHQ6MBpmZc55fV14KL1rAMLahY&amp;dib_tag=se&amp;keywords=bottle+head+pump+high+pressure&amp;qid=1785962302&amp;sprefix=bottle+head+pump+high+presu%2Caps%2C185&amp;sr=8-2" xr:uid="{00000000-0004-0000-0000-000013000000}"/>
    <hyperlink ref="L46" r:id="rId20" display="https://www.amazon.com/Waterproof-Lonlonty-Shielded-Industrial-Connector/dp/B0FBFX1QJX/ref=sr_1_3?crid=1DRJYBXL4KE57&amp;dib=eyJ2IjoiMSJ9.0vN9B6xTFDxZQ1SO3ILA_mDKR2fKUqprlY2LTkEq5PPJqGl-fwwGwRSAC0chMq32mMTqEdWcYljqhsR_a0L-7hy3wefNZV-jaNreSm_7jZlirDZ--sF7Pi7_kpxzD41YdSFgJMwOcnZkqsjEoGHcqTh-ywPBJSmcrQosd_VP4Xg2fZmDGDeIJDH6OssEn8Jz94bCk0CjVIVZijN72WkjFOuqP-I9cVA1uBqZXDGNIjI.pCw2Va-Ji3-iVfzpF9zw4gxxdJwXVFNbiquaHtLcoF0&amp;dib_tag=se&amp;keywords=ethernet%2Bbulkhead&amp;qid=1785970660&amp;sprefix=ethernet%2Bbul%2Caps%2C772&amp;sr=8-3&amp;th=1" xr:uid="{00000000-0004-0000-0000-000014000000}"/>
    <hyperlink ref="L47" r:id="rId21" display="https://www.amazon.com/Raspberry-Pi-Pico-Development-Integrated/dp/B0BDLHMQ9C/ref=sr_1_3?crid=1H99PE3XVELQM&amp;dib=eyJ2IjoiMSJ9.05cMFTHLT2becAUp6LXKOptgrrytrqAsQY_Ir4Lx4cb6rYUd1sOZ15f-ZKcNuCrZBcBxNxsTotZpu5ODmQSq49OKJZ2JA4BSm262NeFEwNxOZvMyFIEu4bPN4C4qR3frtIk_v8RSrNeQH9FMKnxHcVy24qvYSQYxysHdksNr5qWqfzOD9WIVDx3LdCAPmBPg3oairB56ndK25hg7PAvZfmx04QNihD6rQ8ApS9jcS7Zc_CxFuFsXI3D5fY8HNNq51d1aKme3dTuC2MS1reiZUfGCpe5rGnbJuEY6PQwVigM.DTYZIj6DV32sUA3mPvRM-ENuEG9md-lZD5RRRCG9P28&amp;dib_tag=se&amp;keywords=pi+pico+pack&amp;qid=1786032699&amp;s=electronics&amp;sprefix=pi+pico+pack%2Celectronics%2C221&amp;sr=1-3" xr:uid="{EDE76650-CAC0-484F-B061-E8D6E3038E1F}"/>
  </hyperlinks>
  <pageMargins left="0.7" right="0.7" top="0.75" bottom="0.75" header="0.3" footer="0.3"/>
  <pageSetup orientation="portrait"/>
  <tableParts count="1">
    <tablePart r:id="rId2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E19F25-87FC-42F8-BA47-97EEFC8B1364}">
          <x14:formula1>
            <xm:f>Keys!$A$2:$A$10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5"/>
  <sheetViews>
    <sheetView zoomScale="90" zoomScaleNormal="85" workbookViewId="0">
      <pane ySplit="2" topLeftCell="A3" activePane="bottomLeft" state="frozen"/>
      <selection pane="bottomLeft" activeCell="C4" sqref="C4"/>
      <selection activeCell="G1" sqref="G1"/>
    </sheetView>
  </sheetViews>
  <sheetFormatPr defaultColWidth="8.85546875" defaultRowHeight="15" customHeight="1"/>
  <cols>
    <col min="1" max="1" width="29.7109375" customWidth="1"/>
    <col min="2" max="2" width="32.42578125" customWidth="1"/>
    <col min="3" max="3" width="10.7109375" customWidth="1"/>
    <col min="4" max="4" width="29.42578125" customWidth="1"/>
    <col min="5" max="5" width="12" bestFit="1" customWidth="1"/>
    <col min="6" max="6" width="22.42578125" customWidth="1"/>
    <col min="7" max="7" width="20" customWidth="1"/>
    <col min="8" max="9" width="19.42578125" customWidth="1"/>
    <col min="10" max="10" width="17.42578125" customWidth="1"/>
    <col min="11" max="11" width="32.140625" bestFit="1" customWidth="1"/>
    <col min="12" max="12" width="30.7109375" bestFit="1" customWidth="1"/>
    <col min="13" max="13" width="14.42578125" customWidth="1"/>
    <col min="14" max="14" width="139.7109375" customWidth="1"/>
    <col min="16" max="16" width="59.28515625" customWidth="1"/>
    <col min="17" max="17" width="46.28515625" customWidth="1"/>
    <col min="18" max="18" width="20.28515625" customWidth="1"/>
    <col min="19" max="19" width="13.28515625" customWidth="1"/>
    <col min="20" max="20" width="9.28515625" bestFit="1" customWidth="1"/>
    <col min="21" max="21" width="17.28515625" customWidth="1"/>
  </cols>
  <sheetData>
    <row r="1" spans="1:24" ht="15" customHeight="1">
      <c r="A1" s="25" t="s">
        <v>141</v>
      </c>
      <c r="B1" s="11"/>
      <c r="C1" s="11"/>
      <c r="D1" s="11"/>
      <c r="E1" s="11"/>
      <c r="F1" s="11"/>
      <c r="G1" s="11"/>
      <c r="H1" s="11">
        <f>SUBTOTAL(109,H3:H1011)</f>
        <v>0</v>
      </c>
      <c r="I1" s="11">
        <f>SUBTOTAL(109,I3:I1011)</f>
        <v>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9"/>
    </row>
    <row r="2" spans="1:24" s="1" customFormat="1">
      <c r="A2" s="1" t="s">
        <v>142</v>
      </c>
      <c r="B2" s="1" t="s">
        <v>0</v>
      </c>
      <c r="C2" s="1" t="s">
        <v>1</v>
      </c>
      <c r="D2" s="1" t="s">
        <v>3</v>
      </c>
      <c r="E2" s="1" t="s">
        <v>8</v>
      </c>
      <c r="F2" s="1" t="s">
        <v>143</v>
      </c>
      <c r="G2" s="1" t="s">
        <v>144</v>
      </c>
      <c r="H2" s="1" t="s">
        <v>10</v>
      </c>
      <c r="I2" s="1" t="s">
        <v>145</v>
      </c>
      <c r="J2" s="1" t="s">
        <v>146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147</v>
      </c>
      <c r="P2" s="1" t="s">
        <v>11</v>
      </c>
      <c r="Q2" s="1" t="s">
        <v>12</v>
      </c>
      <c r="R2" s="1" t="s">
        <v>13</v>
      </c>
      <c r="X2" s="8"/>
    </row>
    <row r="3" spans="1:24" ht="15.95" customHeight="1">
      <c r="B3">
        <v>1</v>
      </c>
      <c r="C3" s="49">
        <f ca="1">_xlfn.XLOOKUP(OrderT[[#This Row],[Bill Item ID]], BillsT[Bill Item ID], BillsT[Bill No.], "")</f>
        <v>375098</v>
      </c>
      <c r="D3" s="49" t="str">
        <f ca="1">_xlfn.XLOOKUP(OrderT[[#This Row],[Bill Item ID]], BillsT[Bill Item ID], BillsT[Item Name], "")</f>
        <v>SimpleBGC 32-bit CAN MCU</v>
      </c>
      <c r="P3" s="17"/>
      <c r="Q3" s="17"/>
      <c r="X3" s="9"/>
    </row>
    <row r="4" spans="1:24" ht="15.95" customHeight="1">
      <c r="B4">
        <v>2</v>
      </c>
      <c r="C4">
        <f ca="1">_xlfn.XLOOKUP(OrderT[[#This Row],[Bill Item ID]], BillsT[Bill Item ID], BillsT[Bill No.], "")</f>
        <v>375098</v>
      </c>
      <c r="D4" s="49" t="str">
        <f ca="1">_xlfn.XLOOKUP(OrderT[[#This Row],[Bill Item ID]], BillsT[Bill Item ID], BillsT[Item Name], "")</f>
        <v>CAN IMU kit rev.C</v>
      </c>
      <c r="P4" s="17"/>
      <c r="Q4" s="17"/>
      <c r="X4" s="9"/>
    </row>
    <row r="5" spans="1:24" ht="15.95" customHeight="1">
      <c r="C5" t="str">
        <f ca="1">_xlfn.XLOOKUP(OrderT[[#This Row],[Bill Item ID]], BillsT[Bill Item ID], BillsT[Bill No.], "")</f>
        <v/>
      </c>
      <c r="D5" s="49" t="str">
        <f ca="1">_xlfn.XLOOKUP(OrderT[[#This Row],[Bill Item ID]], BillsT[Bill Item ID], BillsT[Item Name], "")</f>
        <v/>
      </c>
      <c r="P5" s="17"/>
      <c r="Q5" s="17"/>
      <c r="X5" s="9"/>
    </row>
    <row r="6" spans="1:24" ht="15.95" customHeight="1">
      <c r="C6" t="str">
        <f ca="1">_xlfn.XLOOKUP(OrderT[[#This Row],[Bill Item ID]], BillsT[Bill Item ID], BillsT[Bill No.], "")</f>
        <v/>
      </c>
      <c r="D6" s="49" t="str">
        <f ca="1">_xlfn.XLOOKUP(OrderT[[#This Row],[Bill Item ID]], BillsT[Bill Item ID], BillsT[Item Name], "")</f>
        <v/>
      </c>
      <c r="P6" s="17"/>
      <c r="Q6" s="17"/>
      <c r="X6" s="9"/>
    </row>
    <row r="7" spans="1:24" ht="17.25" customHeight="1">
      <c r="A7" s="17"/>
      <c r="C7" s="14" t="str">
        <f ca="1">_xlfn.XLOOKUP(OrderT[[#This Row],[Bill Item ID]], BillsT[Bill Item ID], BillsT[Bill No.], "")</f>
        <v/>
      </c>
      <c r="D7" s="49" t="str">
        <f ca="1">_xlfn.XLOOKUP(OrderT[[#This Row],[Bill Item ID]], BillsT[Bill Item ID], BillsT[Item Name], "")</f>
        <v/>
      </c>
      <c r="P7" s="17"/>
      <c r="Q7" s="17"/>
      <c r="X7" s="9"/>
    </row>
    <row r="8" spans="1:24" ht="17.25" customHeight="1">
      <c r="A8" s="17"/>
      <c r="C8" s="14" t="str">
        <f ca="1">_xlfn.XLOOKUP(OrderT[[#This Row],[Bill Item ID]], BillsT[Bill Item ID], BillsT[Bill No.], "")</f>
        <v/>
      </c>
      <c r="D8" s="49" t="str">
        <f ca="1">_xlfn.XLOOKUP(OrderT[[#This Row],[Bill Item ID]], BillsT[Bill Item ID], BillsT[Item Name], "")</f>
        <v/>
      </c>
      <c r="P8" s="17"/>
      <c r="Q8" s="17"/>
      <c r="X8" s="9"/>
    </row>
    <row r="9" spans="1:24" ht="17.25" customHeight="1">
      <c r="A9" s="17"/>
      <c r="C9" s="14" t="str">
        <f ca="1">_xlfn.XLOOKUP(OrderT[[#This Row],[Bill Item ID]], BillsT[Bill Item ID], BillsT[Bill No.], "")</f>
        <v/>
      </c>
      <c r="D9" s="49" t="str">
        <f ca="1">_xlfn.XLOOKUP(OrderT[[#This Row],[Bill Item ID]], BillsT[Bill Item ID], BillsT[Item Name], "")</f>
        <v/>
      </c>
      <c r="P9" s="17"/>
      <c r="Q9" s="17"/>
      <c r="X9" s="9"/>
    </row>
    <row r="10" spans="1:24" ht="17.25" customHeight="1">
      <c r="A10" s="17"/>
      <c r="C10" s="14" t="str">
        <f ca="1">_xlfn.XLOOKUP(OrderT[[#This Row],[Bill Item ID]], BillsT[Bill Item ID], BillsT[Bill No.], "")</f>
        <v/>
      </c>
      <c r="D10" s="49" t="str">
        <f ca="1">_xlfn.XLOOKUP(OrderT[[#This Row],[Bill Item ID]], BillsT[Bill Item ID], BillsT[Item Name], "")</f>
        <v/>
      </c>
      <c r="P10" s="17"/>
      <c r="Q10" s="17"/>
      <c r="X10" s="9"/>
    </row>
    <row r="11" spans="1:24" ht="15.95" customHeight="1">
      <c r="A11" s="17"/>
      <c r="C11" s="14" t="str">
        <f ca="1">_xlfn.XLOOKUP(OrderT[[#This Row],[Bill Item ID]], BillsT[Bill Item ID], BillsT[Bill No.], "")</f>
        <v/>
      </c>
      <c r="D11" s="49" t="str">
        <f ca="1">_xlfn.XLOOKUP(OrderT[[#This Row],[Bill Item ID]], BillsT[Bill Item ID], BillsT[Item Name], "")</f>
        <v/>
      </c>
      <c r="P11" s="17"/>
      <c r="Q11" s="17"/>
      <c r="X11" s="9"/>
    </row>
    <row r="12" spans="1:24" ht="15.95" customHeight="1">
      <c r="A12" s="17"/>
      <c r="C12" s="14" t="str">
        <f ca="1">_xlfn.XLOOKUP(OrderT[[#This Row],[Bill Item ID]], BillsT[Bill Item ID], BillsT[Bill No.], "")</f>
        <v/>
      </c>
      <c r="D12" s="49" t="str">
        <f ca="1">_xlfn.XLOOKUP(OrderT[[#This Row],[Bill Item ID]], BillsT[Bill Item ID], BillsT[Item Name], "")</f>
        <v/>
      </c>
      <c r="P12" s="17"/>
      <c r="Q12" s="17"/>
      <c r="X12" s="9"/>
    </row>
    <row r="13" spans="1:24" ht="15.95" customHeight="1">
      <c r="A13" s="17"/>
      <c r="C13" s="14" t="str">
        <f ca="1">_xlfn.XLOOKUP(OrderT[[#This Row],[Bill Item ID]], BillsT[Bill Item ID], BillsT[Bill No.], "")</f>
        <v/>
      </c>
      <c r="D13" s="49" t="str">
        <f ca="1">_xlfn.XLOOKUP(OrderT[[#This Row],[Bill Item ID]], BillsT[Bill Item ID], BillsT[Item Name], "")</f>
        <v/>
      </c>
      <c r="P13" s="17"/>
      <c r="X13" s="9"/>
    </row>
    <row r="14" spans="1:24" ht="15.95" customHeight="1">
      <c r="A14" s="17"/>
      <c r="C14" s="14" t="str">
        <f ca="1">_xlfn.XLOOKUP(OrderT[[#This Row],[Bill Item ID]], BillsT[Bill Item ID], BillsT[Bill No.], "")</f>
        <v/>
      </c>
      <c r="D14" s="49" t="str">
        <f ca="1">_xlfn.XLOOKUP(OrderT[[#This Row],[Bill Item ID]], BillsT[Bill Item ID], BillsT[Item Name], "")</f>
        <v/>
      </c>
      <c r="P14" s="17"/>
      <c r="Q14" s="17"/>
      <c r="X14" s="9"/>
    </row>
    <row r="15" spans="1:24" ht="15.95" customHeight="1">
      <c r="A15" s="17"/>
      <c r="C15" s="14" t="str">
        <f ca="1">_xlfn.XLOOKUP(OrderT[[#This Row],[Bill Item ID]], BillsT[Bill Item ID], BillsT[Bill No.], "")</f>
        <v/>
      </c>
      <c r="D15" s="49" t="str">
        <f ca="1">_xlfn.XLOOKUP(OrderT[[#This Row],[Bill Item ID]], BillsT[Bill Item ID], BillsT[Item Name], "")</f>
        <v/>
      </c>
      <c r="P15" s="17"/>
      <c r="Q15" s="17"/>
      <c r="X15" s="9"/>
    </row>
    <row r="16" spans="1:24" ht="15.95" customHeight="1">
      <c r="A16" s="17"/>
      <c r="C16" s="14" t="str">
        <f ca="1">_xlfn.XLOOKUP(OrderT[[#This Row],[Bill Item ID]], BillsT[Bill Item ID], BillsT[Bill No.], "")</f>
        <v/>
      </c>
      <c r="D16" s="49" t="str">
        <f ca="1">_xlfn.XLOOKUP(OrderT[[#This Row],[Bill Item ID]], BillsT[Bill Item ID], BillsT[Item Name], "")</f>
        <v/>
      </c>
      <c r="P16" s="17"/>
      <c r="Q16" s="17"/>
      <c r="X16" s="9"/>
    </row>
    <row r="17" spans="1:26" ht="15.95" customHeight="1">
      <c r="A17" s="17"/>
      <c r="C17" s="14" t="str">
        <f ca="1">_xlfn.XLOOKUP(OrderT[[#This Row],[Bill Item ID]], BillsT[Bill Item ID], BillsT[Bill No.], "")</f>
        <v/>
      </c>
      <c r="D17" s="49" t="str">
        <f ca="1">_xlfn.XLOOKUP(OrderT[[#This Row],[Bill Item ID]], BillsT[Bill Item ID], BillsT[Item Name], "")</f>
        <v/>
      </c>
      <c r="P17" s="17"/>
      <c r="Q17" s="17"/>
      <c r="X17" s="9"/>
    </row>
    <row r="18" spans="1:26" ht="15.95" customHeight="1">
      <c r="A18" s="17"/>
      <c r="C18" t="str">
        <f ca="1">_xlfn.XLOOKUP(OrderT[[#This Row],[Bill Item ID]], BillsT[Bill Item ID], BillsT[Bill No.], "")</f>
        <v/>
      </c>
      <c r="D18" s="49" t="str">
        <f ca="1">_xlfn.XLOOKUP(OrderT[[#This Row],[Bill Item ID]], BillsT[Bill Item ID], BillsT[Item Name], "")</f>
        <v/>
      </c>
      <c r="P18" s="17"/>
      <c r="Q18" s="17"/>
    </row>
    <row r="19" spans="1:26" ht="15.95" customHeight="1">
      <c r="A19" s="17"/>
      <c r="C19" s="14" t="str">
        <f ca="1">_xlfn.XLOOKUP(OrderT[[#This Row],[Bill Item ID]], BillsT[Bill Item ID], BillsT[Bill No.], "")</f>
        <v/>
      </c>
      <c r="D19" s="49" t="str">
        <f ca="1">_xlfn.XLOOKUP(OrderT[[#This Row],[Bill Item ID]], BillsT[Bill Item ID], BillsT[Item Name], "")</f>
        <v/>
      </c>
      <c r="P19" s="17"/>
      <c r="Q19" s="17"/>
      <c r="X19" s="9"/>
    </row>
    <row r="20" spans="1:26" ht="15.95" customHeight="1">
      <c r="A20" s="17"/>
      <c r="C20" s="14" t="str">
        <f ca="1">_xlfn.XLOOKUP(OrderT[[#This Row],[Bill Item ID]], BillsT[Bill Item ID], BillsT[Bill No.], "")</f>
        <v/>
      </c>
      <c r="D20" s="49" t="str">
        <f ca="1">_xlfn.XLOOKUP(OrderT[[#This Row],[Bill Item ID]], BillsT[Bill Item ID], BillsT[Item Name], "")</f>
        <v/>
      </c>
      <c r="P20" s="17"/>
      <c r="Q20" s="17"/>
      <c r="X20" s="9"/>
    </row>
    <row r="21" spans="1:26" ht="15.95" customHeight="1">
      <c r="A21" s="17"/>
      <c r="C21" s="14" t="str">
        <f ca="1">_xlfn.XLOOKUP(OrderT[[#This Row],[Bill Item ID]], BillsT[Bill Item ID], BillsT[Bill No.], "")</f>
        <v/>
      </c>
      <c r="D21" s="49" t="str">
        <f ca="1">_xlfn.XLOOKUP(OrderT[[#This Row],[Bill Item ID]], BillsT[Bill Item ID], BillsT[Item Name], "")</f>
        <v/>
      </c>
      <c r="P21" s="17"/>
      <c r="Q21" s="17"/>
      <c r="X21" s="9"/>
    </row>
    <row r="22" spans="1:26" ht="15.95" customHeight="1">
      <c r="A22" s="17"/>
      <c r="C22" s="14" t="str">
        <f ca="1">_xlfn.XLOOKUP(OrderT[[#This Row],[Bill Item ID]], BillsT[Bill Item ID], BillsT[Bill No.], "")</f>
        <v/>
      </c>
      <c r="D22" s="49" t="str">
        <f ca="1">_xlfn.XLOOKUP(OrderT[[#This Row],[Bill Item ID]], BillsT[Bill Item ID], BillsT[Item Name], "")</f>
        <v/>
      </c>
      <c r="P22" s="17"/>
      <c r="Q22" s="17"/>
      <c r="X22" s="9"/>
    </row>
    <row r="23" spans="1:26" ht="15.95" customHeight="1">
      <c r="C23" s="14" t="str">
        <f ca="1">_xlfn.XLOOKUP(OrderT[[#This Row],[Bill Item ID]], BillsT[Bill Item ID], BillsT[Bill No.], "")</f>
        <v/>
      </c>
      <c r="D23" s="49" t="str">
        <f ca="1">_xlfn.XLOOKUP(OrderT[[#This Row],[Bill Item ID]], BillsT[Bill Item ID], BillsT[Item Name], "")</f>
        <v/>
      </c>
      <c r="G23" s="15"/>
      <c r="H23" s="15"/>
      <c r="I23" s="15"/>
      <c r="P23" s="17"/>
      <c r="Q23" s="17"/>
      <c r="X23" s="9"/>
    </row>
    <row r="24" spans="1:26" ht="15.95" customHeight="1">
      <c r="C24" s="14" t="str">
        <f ca="1">_xlfn.XLOOKUP(OrderT[[#This Row],[Bill Item ID]], BillsT[Bill Item ID], BillsT[Bill No.], "")</f>
        <v/>
      </c>
      <c r="D24" s="49" t="str">
        <f ca="1">_xlfn.XLOOKUP(OrderT[[#This Row],[Bill Item ID]], BillsT[Bill Item ID], BillsT[Item Name], "")</f>
        <v/>
      </c>
      <c r="P24" s="17"/>
      <c r="Q24" s="17"/>
      <c r="X24" s="9"/>
    </row>
    <row r="25" spans="1:26" ht="15.95" customHeight="1">
      <c r="C25" s="14" t="str">
        <f ca="1">_xlfn.XLOOKUP(OrderT[[#This Row],[Bill Item ID]], BillsT[Bill Item ID], BillsT[Bill No.], "")</f>
        <v/>
      </c>
      <c r="D25" s="49" t="str">
        <f ca="1">_xlfn.XLOOKUP(OrderT[[#This Row],[Bill Item ID]], BillsT[Bill Item ID], BillsT[Item Name], "")</f>
        <v/>
      </c>
      <c r="P25" s="17"/>
      <c r="Q25" s="17"/>
      <c r="X25" s="9"/>
    </row>
    <row r="26" spans="1:26" ht="15.95" customHeight="1">
      <c r="C26" s="14" t="str">
        <f ca="1">_xlfn.XLOOKUP(OrderT[[#This Row],[Bill Item ID]], BillsT[Bill Item ID], BillsT[Bill No.], "")</f>
        <v/>
      </c>
      <c r="D26" s="49" t="str">
        <f ca="1">_xlfn.XLOOKUP(OrderT[[#This Row],[Bill Item ID]], BillsT[Bill Item ID], BillsT[Item Name], "")</f>
        <v/>
      </c>
      <c r="P26" s="17"/>
      <c r="Q26" s="17"/>
      <c r="X26" s="18"/>
    </row>
    <row r="27" spans="1:26" ht="15.95" customHeight="1">
      <c r="C27" s="14" t="str">
        <f ca="1">_xlfn.XLOOKUP(OrderT[[#This Row],[Bill Item ID]], BillsT[Bill Item ID], BillsT[Bill No.], "")</f>
        <v/>
      </c>
      <c r="D27" s="49" t="str">
        <f ca="1">_xlfn.XLOOKUP(OrderT[[#This Row],[Bill Item ID]], BillsT[Bill Item ID], BillsT[Item Name], "")</f>
        <v/>
      </c>
      <c r="P27" s="17"/>
      <c r="Q27" s="17"/>
      <c r="X27" s="9"/>
    </row>
    <row r="28" spans="1:26" ht="15.95" customHeight="1">
      <c r="C28" s="14" t="str">
        <f ca="1">_xlfn.XLOOKUP(OrderT[[#This Row],[Bill Item ID]], BillsT[Bill Item ID], BillsT[Bill No.], "")</f>
        <v/>
      </c>
      <c r="D28" s="49" t="str">
        <f ca="1">_xlfn.XLOOKUP(OrderT[[#This Row],[Bill Item ID]], BillsT[Bill Item ID], BillsT[Item Name], "")</f>
        <v/>
      </c>
      <c r="P28" s="17"/>
      <c r="Q28" s="17"/>
      <c r="X28" s="9"/>
    </row>
    <row r="29" spans="1:26" ht="15.95" customHeight="1">
      <c r="C29" s="14" t="str">
        <f ca="1">_xlfn.XLOOKUP(OrderT[[#This Row],[Bill Item ID]], BillsT[Bill Item ID], BillsT[Bill No.], "")</f>
        <v/>
      </c>
      <c r="D29" s="49" t="str">
        <f ca="1">_xlfn.XLOOKUP(OrderT[[#This Row],[Bill Item ID]], BillsT[Bill Item ID], BillsT[Item Name], "")</f>
        <v/>
      </c>
      <c r="P29" s="17"/>
      <c r="Q29" s="17"/>
      <c r="X29" s="9"/>
    </row>
    <row r="30" spans="1:26" ht="15.95" customHeight="1">
      <c r="C30" s="14" t="str">
        <f ca="1">_xlfn.XLOOKUP(OrderT[[#This Row],[Bill Item ID]], BillsT[Bill Item ID], BillsT[Bill No.], "")</f>
        <v/>
      </c>
      <c r="D30" s="49" t="str">
        <f ca="1">_xlfn.XLOOKUP(OrderT[[#This Row],[Bill Item ID]], BillsT[Bill Item ID], BillsT[Item Name], "")</f>
        <v/>
      </c>
      <c r="P30" s="17"/>
      <c r="Q30" s="17"/>
      <c r="X30" s="9"/>
    </row>
    <row r="31" spans="1:26" ht="15.95" customHeight="1">
      <c r="C31" s="14" t="str">
        <f ca="1">_xlfn.XLOOKUP(OrderT[[#This Row],[Bill Item ID]], BillsT[Bill Item ID], BillsT[Bill No.], "")</f>
        <v/>
      </c>
      <c r="D31" s="49" t="str">
        <f ca="1">_xlfn.XLOOKUP(OrderT[[#This Row],[Bill Item ID]], BillsT[Bill Item ID], BillsT[Item Name], "")</f>
        <v/>
      </c>
      <c r="P31" s="17"/>
      <c r="Q31" s="17"/>
      <c r="X31" s="9"/>
    </row>
    <row r="32" spans="1:26" ht="15.95" customHeight="1">
      <c r="C32" s="14" t="str">
        <f ca="1">_xlfn.XLOOKUP(OrderT[[#This Row],[Bill Item ID]], BillsT[Bill Item ID], BillsT[Bill No.], "")</f>
        <v/>
      </c>
      <c r="D32" s="49" t="str">
        <f ca="1">_xlfn.XLOOKUP(OrderT[[#This Row],[Bill Item ID]], BillsT[Bill Item ID], BillsT[Item Name], "")</f>
        <v/>
      </c>
      <c r="P32" s="17"/>
      <c r="Q32" s="17"/>
      <c r="X32" s="9"/>
      <c r="Z32" s="26"/>
    </row>
    <row r="33" spans="1:24" ht="15.95" customHeight="1">
      <c r="C33" s="14" t="str">
        <f ca="1">_xlfn.XLOOKUP(OrderT[[#This Row],[Bill Item ID]], BillsT[Bill Item ID], BillsT[Bill No.], "")</f>
        <v/>
      </c>
      <c r="D33" s="49" t="str">
        <f ca="1">_xlfn.XLOOKUP(OrderT[[#This Row],[Bill Item ID]], BillsT[Bill Item ID], BillsT[Item Name], "")</f>
        <v/>
      </c>
      <c r="P33" s="17"/>
      <c r="Q33" s="17"/>
      <c r="X33" s="9"/>
    </row>
    <row r="34" spans="1:24" ht="15.95" customHeight="1">
      <c r="C34" s="14" t="str">
        <f ca="1">_xlfn.XLOOKUP(OrderT[[#This Row],[Bill Item ID]], BillsT[Bill Item ID], BillsT[Bill No.], "")</f>
        <v/>
      </c>
      <c r="D34" s="49" t="str">
        <f ca="1">_xlfn.XLOOKUP(OrderT[[#This Row],[Bill Item ID]], BillsT[Bill Item ID], BillsT[Item Name], "")</f>
        <v/>
      </c>
      <c r="P34" s="17"/>
      <c r="Q34" s="17"/>
      <c r="X34" s="9"/>
    </row>
    <row r="35" spans="1:24" ht="15.95" customHeight="1">
      <c r="A35" s="15"/>
      <c r="B35" s="15"/>
      <c r="C35" s="35" t="str">
        <f ca="1">_xlfn.XLOOKUP(OrderT[[#This Row],[Bill Item ID]], BillsT[Bill Item ID], BillsT[Bill No.], "")</f>
        <v/>
      </c>
      <c r="D35" s="49" t="str">
        <f ca="1">_xlfn.XLOOKUP(OrderT[[#This Row],[Bill Item ID]], BillsT[Bill Item ID], BillsT[Item Name], "")</f>
        <v/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36"/>
      <c r="Q35" s="36"/>
      <c r="R35" s="15"/>
      <c r="S35" s="15"/>
      <c r="T35" s="15"/>
      <c r="U35" s="15"/>
      <c r="X35" s="9"/>
    </row>
    <row r="36" spans="1:24" ht="15.95" customHeight="1">
      <c r="A36" s="15"/>
      <c r="B36" s="15"/>
      <c r="C36" s="35" t="str">
        <f ca="1">_xlfn.XLOOKUP(OrderT[[#This Row],[Bill Item ID]], BillsT[Bill Item ID], BillsT[Bill No.], "")</f>
        <v/>
      </c>
      <c r="D36" s="49" t="str">
        <f ca="1">_xlfn.XLOOKUP(OrderT[[#This Row],[Bill Item ID]], BillsT[Bill Item ID], BillsT[Item Name], "")</f>
        <v/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36"/>
      <c r="Q36" s="36"/>
      <c r="R36" s="15"/>
      <c r="S36" s="15"/>
      <c r="T36" s="15"/>
      <c r="U36" s="15"/>
      <c r="X36" s="9"/>
    </row>
    <row r="37" spans="1:24" ht="15.95" customHeight="1">
      <c r="A37" s="15"/>
      <c r="B37" s="15"/>
      <c r="C37" s="35" t="str">
        <f ca="1">_xlfn.XLOOKUP(OrderT[[#This Row],[Bill Item ID]], BillsT[Bill Item ID], BillsT[Bill No.], "")</f>
        <v/>
      </c>
      <c r="D37" s="49" t="str">
        <f ca="1">_xlfn.XLOOKUP(OrderT[[#This Row],[Bill Item ID]], BillsT[Bill Item ID], BillsT[Item Name], "")</f>
        <v/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36"/>
      <c r="Q37" s="36"/>
      <c r="R37" s="15"/>
      <c r="S37" s="15"/>
      <c r="T37" s="15"/>
      <c r="U37" s="15"/>
      <c r="X37" s="9"/>
    </row>
    <row r="38" spans="1:24" ht="15.95" customHeight="1">
      <c r="A38" s="15"/>
      <c r="B38" s="15"/>
      <c r="C38" s="35" t="str">
        <f ca="1">_xlfn.XLOOKUP(OrderT[[#This Row],[Bill Item ID]], BillsT[Bill Item ID], BillsT[Bill No.], "")</f>
        <v/>
      </c>
      <c r="D38" s="49" t="str">
        <f ca="1">_xlfn.XLOOKUP(OrderT[[#This Row],[Bill Item ID]], BillsT[Bill Item ID], BillsT[Item Name], "")</f>
        <v/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36"/>
      <c r="Q38" s="36"/>
      <c r="R38" s="15"/>
      <c r="S38" s="15"/>
      <c r="T38" s="15"/>
      <c r="U38" s="15"/>
      <c r="X38" s="9"/>
    </row>
    <row r="39" spans="1:24" ht="15.95" customHeight="1">
      <c r="A39" s="15"/>
      <c r="B39" s="15"/>
      <c r="C39" s="35" t="str">
        <f ca="1">_xlfn.XLOOKUP(OrderT[[#This Row],[Bill Item ID]], BillsT[Bill Item ID], BillsT[Bill No.], "")</f>
        <v/>
      </c>
      <c r="D39" s="49" t="str">
        <f ca="1">_xlfn.XLOOKUP(OrderT[[#This Row],[Bill Item ID]], BillsT[Bill Item ID], BillsT[Item Name], "")</f>
        <v/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36"/>
      <c r="Q39" s="36"/>
      <c r="R39" s="15"/>
      <c r="S39" s="15"/>
      <c r="T39" s="15"/>
      <c r="U39" s="15"/>
      <c r="X39" s="9"/>
    </row>
    <row r="40" spans="1:24" ht="15.95" customHeight="1">
      <c r="A40" s="15"/>
      <c r="B40" s="15"/>
      <c r="C40" s="35" t="str">
        <f ca="1">_xlfn.XLOOKUP(OrderT[[#This Row],[Bill Item ID]], BillsT[Bill Item ID], BillsT[Bill No.], "")</f>
        <v/>
      </c>
      <c r="D40" s="49" t="str">
        <f ca="1">_xlfn.XLOOKUP(OrderT[[#This Row],[Bill Item ID]], BillsT[Bill Item ID], BillsT[Item Name], "")</f>
        <v/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36"/>
      <c r="Q40" s="36"/>
      <c r="R40" s="15"/>
      <c r="S40" s="15"/>
      <c r="T40" s="15"/>
      <c r="U40" s="15"/>
      <c r="X40" s="9"/>
    </row>
    <row r="41" spans="1:24" ht="15.95" customHeight="1">
      <c r="A41" s="15"/>
      <c r="B41" s="15"/>
      <c r="C41" s="35" t="str">
        <f ca="1">_xlfn.XLOOKUP(OrderT[[#This Row],[Bill Item ID]], BillsT[Bill Item ID], BillsT[Bill No.], "")</f>
        <v/>
      </c>
      <c r="D41" s="49" t="str">
        <f ca="1">_xlfn.XLOOKUP(OrderT[[#This Row],[Bill Item ID]], BillsT[Bill Item ID], BillsT[Item Name], "")</f>
        <v/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36"/>
      <c r="Q41" s="36"/>
      <c r="R41" s="15"/>
      <c r="S41" s="15"/>
      <c r="T41" s="15"/>
      <c r="U41" s="15"/>
      <c r="X41" s="9"/>
    </row>
    <row r="42" spans="1:24" ht="15.95" customHeight="1">
      <c r="A42" s="15"/>
      <c r="B42" s="15"/>
      <c r="C42" s="35" t="str">
        <f ca="1">_xlfn.XLOOKUP(OrderT[[#This Row],[Bill Item ID]], BillsT[Bill Item ID], BillsT[Bill No.], "")</f>
        <v/>
      </c>
      <c r="D42" s="49" t="str">
        <f ca="1">_xlfn.XLOOKUP(OrderT[[#This Row],[Bill Item ID]], BillsT[Bill Item ID], BillsT[Item Name], "")</f>
        <v/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36"/>
      <c r="Q42" s="36"/>
      <c r="R42" s="15"/>
      <c r="S42" s="15"/>
      <c r="T42" s="15"/>
      <c r="U42" s="15"/>
      <c r="X42" s="9"/>
    </row>
    <row r="43" spans="1:24" ht="15.95" customHeight="1">
      <c r="A43" s="15"/>
      <c r="B43" s="15"/>
      <c r="C43" s="35" t="str">
        <f ca="1">_xlfn.XLOOKUP(OrderT[[#This Row],[Bill Item ID]], BillsT[Bill Item ID], BillsT[Bill No.], "")</f>
        <v/>
      </c>
      <c r="D43" s="49" t="str">
        <f ca="1">_xlfn.XLOOKUP(OrderT[[#This Row],[Bill Item ID]], BillsT[Bill Item ID], BillsT[Item Name], "")</f>
        <v/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36"/>
      <c r="Q43" s="36"/>
      <c r="R43" s="15"/>
      <c r="S43" s="15"/>
      <c r="T43" s="15"/>
      <c r="U43" s="15"/>
      <c r="X43" s="9"/>
    </row>
    <row r="44" spans="1:24" ht="15.95" customHeight="1">
      <c r="A44" s="15"/>
      <c r="B44" s="15"/>
      <c r="C44" s="35" t="str">
        <f ca="1">_xlfn.XLOOKUP(OrderT[[#This Row],[Bill Item ID]], BillsT[Bill Item ID], BillsT[Bill No.], "")</f>
        <v/>
      </c>
      <c r="D44" s="49" t="str">
        <f ca="1">_xlfn.XLOOKUP(OrderT[[#This Row],[Bill Item ID]], BillsT[Bill Item ID], BillsT[Item Name], "")</f>
        <v/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36"/>
      <c r="Q44" s="36"/>
      <c r="R44" s="15"/>
      <c r="S44" s="15"/>
      <c r="T44" s="15"/>
      <c r="U44" s="15"/>
      <c r="X44" s="9"/>
    </row>
    <row r="45" spans="1:24" s="22" customFormat="1" ht="15.95" customHeight="1">
      <c r="A45" s="15"/>
      <c r="B45" s="15"/>
      <c r="C45" s="35" t="str">
        <f ca="1">_xlfn.XLOOKUP(OrderT[[#This Row],[Bill Item ID]], BillsT[Bill Item ID], BillsT[Bill No.], "")</f>
        <v/>
      </c>
      <c r="D45" s="49" t="str">
        <f ca="1">_xlfn.XLOOKUP(OrderT[[#This Row],[Bill Item ID]], BillsT[Bill Item ID], BillsT[Item Name], "")</f>
        <v/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36"/>
      <c r="Q45" s="36"/>
      <c r="R45" s="15"/>
      <c r="S45" s="15"/>
      <c r="T45" s="15"/>
      <c r="U45" s="15"/>
      <c r="X45" s="23"/>
    </row>
    <row r="46" spans="1:24" ht="15.95" customHeight="1">
      <c r="A46" s="36"/>
      <c r="B46" s="15"/>
      <c r="C46" s="35" t="str">
        <f ca="1">_xlfn.XLOOKUP(OrderT[[#This Row],[Bill Item ID]], BillsT[Bill Item ID], BillsT[Bill No.], "")</f>
        <v/>
      </c>
      <c r="D46" s="49" t="str">
        <f ca="1">_xlfn.XLOOKUP(OrderT[[#This Row],[Bill Item ID]], BillsT[Bill Item ID], BillsT[Item Name], "")</f>
        <v/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36"/>
      <c r="Q46" s="36"/>
      <c r="R46" s="15"/>
      <c r="S46" s="15"/>
      <c r="T46" s="15"/>
      <c r="U46" s="15"/>
      <c r="X46" s="9"/>
    </row>
    <row r="47" spans="1:24" ht="15.95" customHeight="1">
      <c r="A47" s="36"/>
      <c r="B47" s="15"/>
      <c r="C47" s="35" t="str">
        <f ca="1">_xlfn.XLOOKUP(OrderT[[#This Row],[Bill Item ID]], BillsT[Bill Item ID], BillsT[Bill No.], "")</f>
        <v/>
      </c>
      <c r="D47" s="49" t="str">
        <f ca="1">_xlfn.XLOOKUP(OrderT[[#This Row],[Bill Item ID]], BillsT[Bill Item ID], BillsT[Item Name], "")</f>
        <v/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36"/>
      <c r="Q47" s="36"/>
      <c r="R47" s="15"/>
      <c r="S47" s="15"/>
      <c r="T47" s="15"/>
      <c r="U47" s="15"/>
      <c r="X47" s="9"/>
    </row>
    <row r="48" spans="1:24" ht="15.95" customHeight="1">
      <c r="A48" s="36"/>
      <c r="B48" s="15"/>
      <c r="C48" s="35" t="str">
        <f ca="1">_xlfn.XLOOKUP(OrderT[[#This Row],[Bill Item ID]], BillsT[Bill Item ID], BillsT[Bill No.], "")</f>
        <v/>
      </c>
      <c r="D48" s="49" t="str">
        <f ca="1">_xlfn.XLOOKUP(OrderT[[#This Row],[Bill Item ID]], BillsT[Bill Item ID], BillsT[Item Name], "")</f>
        <v/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36"/>
      <c r="Q48" s="36"/>
      <c r="R48" s="15"/>
      <c r="S48" s="15"/>
      <c r="T48" s="15"/>
      <c r="U48" s="15"/>
      <c r="X48" s="9"/>
    </row>
    <row r="49" spans="1:24" ht="15.95" customHeight="1">
      <c r="A49" s="36"/>
      <c r="B49" s="15"/>
      <c r="C49" s="35" t="str">
        <f ca="1">_xlfn.XLOOKUP(OrderT[[#This Row],[Bill Item ID]], BillsT[Bill Item ID], BillsT[Bill No.], "")</f>
        <v/>
      </c>
      <c r="D49" s="49" t="str">
        <f ca="1">_xlfn.XLOOKUP(OrderT[[#This Row],[Bill Item ID]], BillsT[Bill Item ID], BillsT[Item Name], "")</f>
        <v/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36"/>
      <c r="Q49" s="36"/>
      <c r="R49" s="15"/>
      <c r="S49" s="15"/>
      <c r="T49" s="15"/>
      <c r="U49" s="15"/>
      <c r="X49" s="9"/>
    </row>
    <row r="50" spans="1:24" ht="15.95" customHeight="1">
      <c r="A50" s="36"/>
      <c r="B50" s="15"/>
      <c r="C50" s="35" t="str">
        <f ca="1">_xlfn.XLOOKUP(OrderT[[#This Row],[Bill Item ID]], BillsT[Bill Item ID], BillsT[Bill No.], "")</f>
        <v/>
      </c>
      <c r="D50" s="49" t="str">
        <f ca="1">_xlfn.XLOOKUP(OrderT[[#This Row],[Bill Item ID]], BillsT[Bill Item ID], BillsT[Item Name], "")</f>
        <v/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36"/>
      <c r="Q50" s="36"/>
      <c r="R50" s="15"/>
      <c r="S50" s="15"/>
      <c r="T50" s="15"/>
      <c r="U50" s="15"/>
      <c r="X50" s="9"/>
    </row>
    <row r="51" spans="1:24" ht="15.95" customHeight="1">
      <c r="A51" s="36"/>
      <c r="B51" s="15"/>
      <c r="C51" s="35" t="str">
        <f ca="1">_xlfn.XLOOKUP(OrderT[[#This Row],[Bill Item ID]], BillsT[Bill Item ID], BillsT[Bill No.], "")</f>
        <v/>
      </c>
      <c r="D51" s="49" t="str">
        <f ca="1">_xlfn.XLOOKUP(OrderT[[#This Row],[Bill Item ID]], BillsT[Bill Item ID], BillsT[Item Name], "")</f>
        <v/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36"/>
      <c r="Q51" s="36"/>
      <c r="R51" s="15"/>
      <c r="S51" s="15"/>
      <c r="T51" s="15"/>
      <c r="U51" s="15"/>
      <c r="X51" s="9"/>
    </row>
    <row r="52" spans="1:24" s="22" customFormat="1" ht="15.95" customHeight="1">
      <c r="A52" s="36"/>
      <c r="B52" s="15"/>
      <c r="C52" s="35" t="str">
        <f ca="1">_xlfn.XLOOKUP(OrderT[[#This Row],[Bill Item ID]], BillsT[Bill Item ID], BillsT[Bill No.], "")</f>
        <v/>
      </c>
      <c r="D52" s="49" t="str">
        <f ca="1">_xlfn.XLOOKUP(OrderT[[#This Row],[Bill Item ID]], BillsT[Bill Item ID], BillsT[Item Name], "")</f>
        <v/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36"/>
      <c r="Q52" s="36"/>
      <c r="R52" s="15"/>
      <c r="S52" s="15"/>
      <c r="T52" s="15"/>
      <c r="U52" s="15"/>
      <c r="X52" s="23"/>
    </row>
    <row r="53" spans="1:24" ht="15.95" customHeight="1">
      <c r="A53" s="15"/>
      <c r="B53" s="15"/>
      <c r="C53" s="35" t="str">
        <f ca="1">_xlfn.XLOOKUP(OrderT[[#This Row],[Bill Item ID]], BillsT[Bill Item ID], BillsT[Bill No.], "")</f>
        <v/>
      </c>
      <c r="D53" s="49" t="str">
        <f ca="1">_xlfn.XLOOKUP(OrderT[[#This Row],[Bill Item ID]], BillsT[Bill Item ID], BillsT[Item Name], "")</f>
        <v/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36"/>
      <c r="Q53" s="36"/>
      <c r="R53" s="15"/>
      <c r="S53" s="15"/>
      <c r="T53" s="15"/>
      <c r="U53" s="15"/>
      <c r="X53" s="9"/>
    </row>
    <row r="54" spans="1:24" ht="15.95" customHeight="1">
      <c r="A54" s="15"/>
      <c r="B54" s="15"/>
      <c r="C54" s="35" t="str">
        <f ca="1">_xlfn.XLOOKUP(OrderT[[#This Row],[Bill Item ID]], BillsT[Bill Item ID], BillsT[Bill No.], "")</f>
        <v/>
      </c>
      <c r="D54" s="49" t="str">
        <f ca="1">_xlfn.XLOOKUP(OrderT[[#This Row],[Bill Item ID]], BillsT[Bill Item ID], BillsT[Item Name], "")</f>
        <v/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36"/>
      <c r="Q54" s="36"/>
      <c r="R54" s="15"/>
      <c r="S54" s="15"/>
      <c r="T54" s="15"/>
      <c r="U54" s="15"/>
      <c r="X54" s="9"/>
    </row>
    <row r="55" spans="1:24" s="22" customFormat="1" ht="15.95" customHeight="1">
      <c r="A55" s="15"/>
      <c r="B55" s="15"/>
      <c r="C55" s="15" t="str">
        <f ca="1">_xlfn.XLOOKUP(OrderT[[#This Row],[Bill Item ID]], BillsT[Bill Item ID], BillsT[Bill No.], "")</f>
        <v/>
      </c>
      <c r="D55" s="49" t="str">
        <f ca="1">_xlfn.XLOOKUP(OrderT[[#This Row],[Bill Item ID]], BillsT[Bill Item ID], BillsT[Item Name], "")</f>
        <v/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36"/>
      <c r="Q55" s="36"/>
      <c r="R55" s="15"/>
      <c r="S55" s="15"/>
      <c r="T55" s="15"/>
      <c r="U55" s="15"/>
      <c r="X55" s="23"/>
    </row>
    <row r="56" spans="1:24" ht="15.95" customHeight="1">
      <c r="A56" s="15"/>
      <c r="B56" s="15"/>
      <c r="C56" s="35" t="str">
        <f ca="1">_xlfn.XLOOKUP(OrderT[[#This Row],[Bill Item ID]], BillsT[Bill Item ID], BillsT[Bill No.], "")</f>
        <v/>
      </c>
      <c r="D56" s="49" t="str">
        <f ca="1">_xlfn.XLOOKUP(OrderT[[#This Row],[Bill Item ID]], BillsT[Bill Item ID], BillsT[Item Name], "")</f>
        <v/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36"/>
      <c r="Q56" s="36"/>
      <c r="R56" s="15"/>
      <c r="S56" s="15"/>
      <c r="T56" s="15"/>
      <c r="U56" s="15"/>
      <c r="X56" s="9"/>
    </row>
    <row r="57" spans="1:24" s="11" customFormat="1" ht="15.95" customHeight="1">
      <c r="A57" s="15"/>
      <c r="B57" s="15"/>
      <c r="C57" s="35" t="str">
        <f ca="1">_xlfn.XLOOKUP(OrderT[[#This Row],[Bill Item ID]], BillsT[Bill Item ID], BillsT[Bill No.], "")</f>
        <v/>
      </c>
      <c r="D57" s="49" t="str">
        <f ca="1">_xlfn.XLOOKUP(OrderT[[#This Row],[Bill Item ID]], BillsT[Bill Item ID], BillsT[Item Name], "")</f>
        <v/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36"/>
      <c r="Q57" s="36"/>
      <c r="R57" s="15"/>
      <c r="S57" s="15"/>
      <c r="T57" s="15"/>
      <c r="U57" s="15"/>
      <c r="X57" s="9"/>
    </row>
    <row r="58" spans="1:24" ht="15" customHeight="1">
      <c r="A58" s="15"/>
      <c r="B58" s="15"/>
      <c r="C58" s="35" t="str">
        <f ca="1">_xlfn.XLOOKUP(OrderT[[#This Row],[Bill Item ID]], BillsT[Bill Item ID], BillsT[Bill No.], "")</f>
        <v/>
      </c>
      <c r="D58" s="49" t="str">
        <f ca="1">_xlfn.XLOOKUP(OrderT[[#This Row],[Bill Item ID]], BillsT[Bill Item ID], BillsT[Item Name], "")</f>
        <v/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36"/>
      <c r="Q58" s="36"/>
      <c r="R58" s="15"/>
      <c r="S58" s="15"/>
      <c r="T58" s="15"/>
      <c r="U58" s="15"/>
      <c r="X58" s="9"/>
    </row>
    <row r="59" spans="1:24" s="22" customFormat="1" ht="15" customHeight="1">
      <c r="A59" s="15"/>
      <c r="B59" s="15"/>
      <c r="C59" s="35" t="str">
        <f ca="1">_xlfn.XLOOKUP(OrderT[[#This Row],[Bill Item ID]], BillsT[Bill Item ID], BillsT[Bill No.], "")</f>
        <v/>
      </c>
      <c r="D59" s="49" t="str">
        <f ca="1">_xlfn.XLOOKUP(OrderT[[#This Row],[Bill Item ID]], BillsT[Bill Item ID], BillsT[Item Name], "")</f>
        <v/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36"/>
      <c r="Q59" s="36"/>
      <c r="R59" s="15"/>
      <c r="S59" s="15"/>
      <c r="T59" s="15"/>
      <c r="U59" s="15"/>
      <c r="X59" s="23"/>
    </row>
    <row r="60" spans="1:24" ht="15" customHeight="1">
      <c r="A60" s="35"/>
      <c r="B60" s="15"/>
      <c r="C60" s="35" t="str">
        <f ca="1">_xlfn.XLOOKUP(OrderT[[#This Row],[Bill Item ID]], BillsT[Bill Item ID], BillsT[Bill No.], "")</f>
        <v/>
      </c>
      <c r="D60" s="49" t="str">
        <f ca="1">_xlfn.XLOOKUP(OrderT[[#This Row],[Bill Item ID]], BillsT[Bill Item ID], BillsT[Item Name], "")</f>
        <v/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36"/>
      <c r="Q60" s="36"/>
      <c r="R60" s="15"/>
      <c r="S60" s="15"/>
      <c r="T60" s="15"/>
      <c r="U60" s="15"/>
      <c r="X60" s="9"/>
    </row>
    <row r="61" spans="1:24" ht="15.95" customHeight="1">
      <c r="A61" s="35"/>
      <c r="B61" s="15"/>
      <c r="C61" s="35" t="str">
        <f ca="1">_xlfn.XLOOKUP(OrderT[[#This Row],[Bill Item ID]], BillsT[Bill Item ID], BillsT[Bill No.], "")</f>
        <v/>
      </c>
      <c r="D61" s="49" t="str">
        <f ca="1">_xlfn.XLOOKUP(OrderT[[#This Row],[Bill Item ID]], BillsT[Bill Item ID], BillsT[Item Name], "")</f>
        <v/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36"/>
      <c r="Q61" s="36"/>
      <c r="R61" s="15"/>
      <c r="S61" s="15"/>
      <c r="T61" s="15"/>
      <c r="U61" s="15"/>
      <c r="X61" s="9"/>
    </row>
    <row r="62" spans="1:24" ht="15.95" customHeight="1">
      <c r="A62" s="15"/>
      <c r="B62" s="15"/>
      <c r="C62" s="35" t="str">
        <f ca="1">_xlfn.XLOOKUP(OrderT[[#This Row],[Bill Item ID]], BillsT[Bill Item ID], BillsT[Bill No.], "")</f>
        <v/>
      </c>
      <c r="D62" s="49" t="str">
        <f ca="1">_xlfn.XLOOKUP(OrderT[[#This Row],[Bill Item ID]], BillsT[Bill Item ID], BillsT[Item Name], "")</f>
        <v/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36"/>
      <c r="Q62" s="36"/>
      <c r="R62" s="15"/>
      <c r="S62" s="15"/>
      <c r="T62" s="15"/>
      <c r="U62" s="15"/>
      <c r="X62" s="9"/>
    </row>
    <row r="63" spans="1:24" s="22" customFormat="1" ht="15.95" customHeight="1">
      <c r="A63" s="15"/>
      <c r="B63" s="15"/>
      <c r="C63" s="35" t="str">
        <f ca="1">_xlfn.XLOOKUP(OrderT[[#This Row],[Bill Item ID]], BillsT[Bill Item ID], BillsT[Bill No.], "")</f>
        <v/>
      </c>
      <c r="D63" s="49" t="str">
        <f ca="1">_xlfn.XLOOKUP(OrderT[[#This Row],[Bill Item ID]], BillsT[Bill Item ID], BillsT[Item Name], "")</f>
        <v/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36"/>
      <c r="Q63" s="36"/>
      <c r="R63" s="15"/>
      <c r="S63" s="15"/>
      <c r="T63" s="15"/>
      <c r="U63" s="15"/>
      <c r="X63" s="23"/>
    </row>
    <row r="64" spans="1:24" ht="15.95" customHeight="1">
      <c r="A64" s="15"/>
      <c r="B64" s="15"/>
      <c r="C64" s="35" t="str">
        <f ca="1">_xlfn.XLOOKUP(OrderT[[#This Row],[Bill Item ID]], BillsT[Bill Item ID], BillsT[Bill No.], "")</f>
        <v/>
      </c>
      <c r="D64" s="49" t="str">
        <f ca="1">_xlfn.XLOOKUP(OrderT[[#This Row],[Bill Item ID]], BillsT[Bill Item ID], BillsT[Item Name], "")</f>
        <v/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36"/>
      <c r="Q64" s="36"/>
      <c r="R64" s="15"/>
      <c r="S64" s="15"/>
      <c r="T64" s="15"/>
      <c r="U64" s="15"/>
      <c r="X64" s="9"/>
    </row>
    <row r="65" spans="1:24" ht="15.95" customHeight="1">
      <c r="A65" s="15"/>
      <c r="B65" s="15"/>
      <c r="C65" s="15" t="str">
        <f ca="1">_xlfn.XLOOKUP(OrderT[[#This Row],[Bill Item ID]], BillsT[Bill Item ID], BillsT[Bill No.], "")</f>
        <v/>
      </c>
      <c r="D65" s="49" t="str">
        <f ca="1">_xlfn.XLOOKUP(OrderT[[#This Row],[Bill Item ID]], BillsT[Bill Item ID], BillsT[Item Name], "")</f>
        <v/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36"/>
      <c r="Q65" s="36"/>
      <c r="R65" s="15"/>
      <c r="S65" s="15"/>
      <c r="T65" s="15"/>
      <c r="U65" s="15"/>
      <c r="X65" s="9"/>
    </row>
    <row r="66" spans="1:24" ht="15.95" customHeight="1">
      <c r="A66" s="15"/>
      <c r="B66" s="15"/>
      <c r="C66" s="15" t="str">
        <f ca="1">_xlfn.XLOOKUP(OrderT[[#This Row],[Bill Item ID]], BillsT[Bill Item ID], BillsT[Bill No.], "")</f>
        <v/>
      </c>
      <c r="D66" s="49" t="str">
        <f ca="1">_xlfn.XLOOKUP(OrderT[[#This Row],[Bill Item ID]], BillsT[Bill Item ID], BillsT[Item Name], "")</f>
        <v/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36"/>
      <c r="Q66" s="36"/>
      <c r="R66" s="15"/>
      <c r="S66" s="15"/>
      <c r="T66" s="15"/>
      <c r="U66" s="15"/>
      <c r="X66" s="9"/>
    </row>
    <row r="67" spans="1:24" ht="15.95" customHeight="1">
      <c r="A67" s="15"/>
      <c r="B67" s="15"/>
      <c r="C67" s="15" t="str">
        <f ca="1">_xlfn.XLOOKUP(OrderT[[#This Row],[Bill Item ID]], BillsT[Bill Item ID], BillsT[Bill No.], "")</f>
        <v/>
      </c>
      <c r="D67" s="49" t="str">
        <f ca="1">_xlfn.XLOOKUP(OrderT[[#This Row],[Bill Item ID]], BillsT[Bill Item ID], BillsT[Item Name], "")</f>
        <v/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36"/>
      <c r="Q67" s="36"/>
      <c r="R67" s="15"/>
      <c r="S67" s="15"/>
      <c r="T67" s="15"/>
      <c r="U67" s="15"/>
      <c r="X67" s="9"/>
    </row>
    <row r="68" spans="1:24" ht="15.95" customHeight="1">
      <c r="A68" s="15"/>
      <c r="B68" s="15"/>
      <c r="C68" s="15" t="str">
        <f ca="1">_xlfn.XLOOKUP(OrderT[[#This Row],[Bill Item ID]], BillsT[Bill Item ID], BillsT[Bill No.], "")</f>
        <v/>
      </c>
      <c r="D68" s="49" t="str">
        <f ca="1">_xlfn.XLOOKUP(OrderT[[#This Row],[Bill Item ID]], BillsT[Bill Item ID], BillsT[Item Name], "")</f>
        <v/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36"/>
      <c r="Q68" s="36"/>
      <c r="R68" s="15"/>
      <c r="S68" s="15"/>
      <c r="T68" s="15"/>
      <c r="U68" s="15"/>
      <c r="X68" s="9"/>
    </row>
    <row r="69" spans="1:24" ht="15.95" customHeight="1">
      <c r="A69" s="15"/>
      <c r="B69" s="15"/>
      <c r="C69" s="15" t="str">
        <f ca="1">_xlfn.XLOOKUP(OrderT[[#This Row],[Bill Item ID]], BillsT[Bill Item ID], BillsT[Bill No.], "")</f>
        <v/>
      </c>
      <c r="D69" s="49" t="str">
        <f ca="1">_xlfn.XLOOKUP(OrderT[[#This Row],[Bill Item ID]], BillsT[Bill Item ID], BillsT[Item Name], "")</f>
        <v/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36"/>
      <c r="Q69" s="36"/>
      <c r="R69" s="15"/>
      <c r="S69" s="15"/>
      <c r="T69" s="15"/>
      <c r="U69" s="15"/>
      <c r="X69" s="9"/>
    </row>
    <row r="70" spans="1:24" s="22" customFormat="1" ht="15.95" customHeight="1">
      <c r="A70" s="15"/>
      <c r="B70" s="15"/>
      <c r="C70" s="35" t="str">
        <f ca="1">_xlfn.XLOOKUP(OrderT[[#This Row],[Bill Item ID]], BillsT[Bill Item ID], BillsT[Bill No.], "")</f>
        <v/>
      </c>
      <c r="D70" s="49" t="str">
        <f ca="1">_xlfn.XLOOKUP(OrderT[[#This Row],[Bill Item ID]], BillsT[Bill Item ID], BillsT[Item Name], "")</f>
        <v/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36"/>
      <c r="Q70" s="36"/>
      <c r="R70" s="15"/>
      <c r="S70" s="15"/>
      <c r="T70" s="15"/>
      <c r="U70" s="15"/>
      <c r="X70" s="23"/>
    </row>
    <row r="71" spans="1:24" ht="15.95" customHeight="1">
      <c r="A71" s="15"/>
      <c r="B71" s="15"/>
      <c r="C71" s="15" t="str">
        <f ca="1">_xlfn.XLOOKUP(OrderT[[#This Row],[Bill Item ID]], BillsT[Bill Item ID], BillsT[Bill No.], "")</f>
        <v/>
      </c>
      <c r="D71" s="49" t="str">
        <f ca="1">_xlfn.XLOOKUP(OrderT[[#This Row],[Bill Item ID]], BillsT[Bill Item ID], BillsT[Item Name], "")</f>
        <v/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36"/>
      <c r="Q71" s="36"/>
      <c r="R71" s="15"/>
      <c r="S71" s="15"/>
      <c r="T71" s="15"/>
      <c r="U71" s="15"/>
      <c r="X71" s="9"/>
    </row>
    <row r="72" spans="1:24" ht="15.95" customHeight="1">
      <c r="A72" s="15"/>
      <c r="B72" s="15"/>
      <c r="C72" s="15" t="str">
        <f ca="1">_xlfn.XLOOKUP(OrderT[[#This Row],[Bill Item ID]], BillsT[Bill Item ID], BillsT[Bill No.], "")</f>
        <v/>
      </c>
      <c r="D72" s="49" t="str">
        <f ca="1">_xlfn.XLOOKUP(OrderT[[#This Row],[Bill Item ID]], BillsT[Bill Item ID], BillsT[Item Name], "")</f>
        <v/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36"/>
      <c r="Q72" s="36"/>
      <c r="R72" s="15"/>
      <c r="S72" s="15"/>
      <c r="T72" s="15"/>
      <c r="U72" s="15"/>
      <c r="X72" s="19"/>
    </row>
    <row r="73" spans="1:24" s="12" customFormat="1" ht="15.95" customHeight="1">
      <c r="A73" s="36"/>
      <c r="B73" s="15"/>
      <c r="C73" s="15" t="str">
        <f ca="1">_xlfn.XLOOKUP(OrderT[[#This Row],[Bill Item ID]], BillsT[Bill Item ID], BillsT[Bill No.], "")</f>
        <v/>
      </c>
      <c r="D73" s="49" t="str">
        <f ca="1">_xlfn.XLOOKUP(OrderT[[#This Row],[Bill Item ID]], BillsT[Bill Item ID], BillsT[Item Name], "")</f>
        <v/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36"/>
      <c r="Q73" s="36"/>
      <c r="R73" s="15"/>
      <c r="S73" s="15"/>
      <c r="T73" s="15"/>
      <c r="U73" s="15"/>
      <c r="X73" s="9"/>
    </row>
    <row r="74" spans="1:24" ht="15.95" customHeight="1">
      <c r="A74" s="36"/>
      <c r="B74" s="15"/>
      <c r="C74" s="15" t="str">
        <f ca="1">_xlfn.XLOOKUP(OrderT[[#This Row],[Bill Item ID]], BillsT[Bill Item ID], BillsT[Bill No.], "")</f>
        <v/>
      </c>
      <c r="D74" s="49" t="str">
        <f ca="1">_xlfn.XLOOKUP(OrderT[[#This Row],[Bill Item ID]], BillsT[Bill Item ID], BillsT[Item Name], "")</f>
        <v/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36"/>
      <c r="Q74" s="36"/>
      <c r="R74" s="15"/>
      <c r="S74" s="15"/>
      <c r="T74" s="15"/>
      <c r="U74" s="15"/>
      <c r="X74" s="9"/>
    </row>
    <row r="75" spans="1:24" ht="15.95" customHeight="1">
      <c r="A75" s="36"/>
      <c r="B75" s="15"/>
      <c r="C75" s="15" t="str">
        <f ca="1">_xlfn.XLOOKUP(OrderT[[#This Row],[Bill Item ID]], BillsT[Bill Item ID], BillsT[Bill No.], "")</f>
        <v/>
      </c>
      <c r="D75" s="49" t="str">
        <f ca="1">_xlfn.XLOOKUP(OrderT[[#This Row],[Bill Item ID]], BillsT[Bill Item ID], BillsT[Item Name], "")</f>
        <v/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36"/>
      <c r="Q75" s="36"/>
      <c r="R75" s="15"/>
      <c r="S75" s="15"/>
      <c r="T75" s="15"/>
      <c r="U75" s="15"/>
      <c r="X75" s="9"/>
    </row>
    <row r="76" spans="1:24" ht="15.95" customHeight="1">
      <c r="A76" s="36"/>
      <c r="B76" s="15"/>
      <c r="C76" s="15" t="str">
        <f ca="1">_xlfn.XLOOKUP(OrderT[[#This Row],[Bill Item ID]], BillsT[Bill Item ID], BillsT[Bill No.], "")</f>
        <v/>
      </c>
      <c r="D76" s="49" t="str">
        <f ca="1">_xlfn.XLOOKUP(OrderT[[#This Row],[Bill Item ID]], BillsT[Bill Item ID], BillsT[Item Name], "")</f>
        <v/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36"/>
      <c r="Q76" s="36"/>
      <c r="R76" s="15"/>
      <c r="S76" s="15"/>
      <c r="T76" s="15"/>
      <c r="U76" s="15"/>
      <c r="X76" s="9"/>
    </row>
    <row r="77" spans="1:24" ht="15.95" customHeight="1">
      <c r="A77" s="36"/>
      <c r="B77" s="15"/>
      <c r="C77" s="15" t="str">
        <f ca="1">_xlfn.XLOOKUP(OrderT[[#This Row],[Bill Item ID]], BillsT[Bill Item ID], BillsT[Bill No.], "")</f>
        <v/>
      </c>
      <c r="D77" s="49" t="str">
        <f ca="1">_xlfn.XLOOKUP(OrderT[[#This Row],[Bill Item ID]], BillsT[Bill Item ID], BillsT[Item Name], "")</f>
        <v/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36"/>
      <c r="Q77" s="36"/>
      <c r="R77" s="15"/>
      <c r="S77" s="15"/>
      <c r="T77" s="15"/>
      <c r="U77" s="15"/>
      <c r="X77" s="9"/>
    </row>
    <row r="78" spans="1:24" ht="15.95" customHeight="1">
      <c r="A78" s="36"/>
      <c r="B78" s="15"/>
      <c r="C78" s="15" t="str">
        <f ca="1">_xlfn.XLOOKUP(OrderT[[#This Row],[Bill Item ID]], BillsT[Bill Item ID], BillsT[Bill No.], "")</f>
        <v/>
      </c>
      <c r="D78" s="49" t="str">
        <f ca="1">_xlfn.XLOOKUP(OrderT[[#This Row],[Bill Item ID]], BillsT[Bill Item ID], BillsT[Item Name], "")</f>
        <v/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36"/>
      <c r="Q78" s="36"/>
      <c r="R78" s="15"/>
      <c r="S78" s="15"/>
      <c r="T78" s="15"/>
      <c r="U78" s="15"/>
      <c r="X78" s="9"/>
    </row>
    <row r="79" spans="1:24" ht="15.95" customHeight="1">
      <c r="A79" s="36"/>
      <c r="B79" s="15"/>
      <c r="C79" s="15" t="str">
        <f ca="1">_xlfn.XLOOKUP(OrderT[[#This Row],[Bill Item ID]], BillsT[Bill Item ID], BillsT[Bill No.], "")</f>
        <v/>
      </c>
      <c r="D79" s="49" t="str">
        <f ca="1">_xlfn.XLOOKUP(OrderT[[#This Row],[Bill Item ID]], BillsT[Bill Item ID], BillsT[Item Name], "")</f>
        <v/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36"/>
      <c r="Q79" s="36"/>
      <c r="R79" s="15"/>
      <c r="S79" s="15"/>
      <c r="T79" s="15"/>
      <c r="U79" s="15"/>
      <c r="X79" s="9"/>
    </row>
    <row r="80" spans="1:24" ht="15.95" customHeight="1">
      <c r="A80" s="36"/>
      <c r="B80" s="15"/>
      <c r="C80" s="15" t="str">
        <f ca="1">_xlfn.XLOOKUP(OrderT[[#This Row],[Bill Item ID]], BillsT[Bill Item ID], BillsT[Bill No.], "")</f>
        <v/>
      </c>
      <c r="D80" s="49" t="str">
        <f ca="1">_xlfn.XLOOKUP(OrderT[[#This Row],[Bill Item ID]], BillsT[Bill Item ID], BillsT[Item Name], "")</f>
        <v/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36"/>
      <c r="Q80" s="36"/>
      <c r="R80" s="15"/>
      <c r="S80" s="15"/>
      <c r="T80" s="15"/>
      <c r="U80" s="15"/>
      <c r="X80" s="9"/>
    </row>
    <row r="81" spans="1:24" ht="15.95" customHeight="1">
      <c r="A81" s="15"/>
      <c r="B81" s="15"/>
      <c r="C81" s="15" t="str">
        <f ca="1">_xlfn.XLOOKUP(OrderT[[#This Row],[Bill Item ID]], BillsT[Bill Item ID], BillsT[Bill No.], "")</f>
        <v/>
      </c>
      <c r="D81" s="49" t="str">
        <f ca="1">_xlfn.XLOOKUP(OrderT[[#This Row],[Bill Item ID]], BillsT[Bill Item ID], BillsT[Item Name], "")</f>
        <v/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36"/>
      <c r="Q81" s="36"/>
      <c r="R81" s="15"/>
      <c r="S81" s="15"/>
      <c r="T81" s="15"/>
      <c r="U81" s="15"/>
      <c r="X81" s="9"/>
    </row>
    <row r="82" spans="1:24" ht="15.95" customHeight="1">
      <c r="A82" s="15"/>
      <c r="B82" s="15"/>
      <c r="C82" s="15" t="str">
        <f ca="1">_xlfn.XLOOKUP(OrderT[[#This Row],[Bill Item ID]], BillsT[Bill Item ID], BillsT[Bill No.], "")</f>
        <v/>
      </c>
      <c r="D82" s="49" t="str">
        <f ca="1">_xlfn.XLOOKUP(OrderT[[#This Row],[Bill Item ID]], BillsT[Bill Item ID], BillsT[Item Name], "")</f>
        <v/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36"/>
      <c r="Q82" s="36"/>
      <c r="R82" s="15"/>
      <c r="S82" s="15"/>
      <c r="T82" s="15"/>
      <c r="U82" s="15"/>
      <c r="X82" s="9"/>
    </row>
    <row r="83" spans="1:24" s="22" customFormat="1" ht="15.95" customHeight="1">
      <c r="A83" s="15"/>
      <c r="B83" s="15"/>
      <c r="C83" s="35" t="str">
        <f ca="1">_xlfn.XLOOKUP(OrderT[[#This Row],[Bill Item ID]], BillsT[Bill Item ID], BillsT[Bill No.], "")</f>
        <v/>
      </c>
      <c r="D83" s="49" t="str">
        <f ca="1">_xlfn.XLOOKUP(OrderT[[#This Row],[Bill Item ID]], BillsT[Bill Item ID], BillsT[Item Name], "")</f>
        <v/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36"/>
      <c r="Q83" s="36"/>
      <c r="R83" s="15"/>
      <c r="S83" s="15"/>
      <c r="T83" s="15"/>
      <c r="U83" s="15"/>
      <c r="X83" s="23"/>
    </row>
    <row r="84" spans="1:24" ht="15" customHeight="1">
      <c r="A84" s="15"/>
      <c r="B84" s="15"/>
      <c r="C84" s="15" t="str">
        <f ca="1">_xlfn.XLOOKUP(OrderT[[#This Row],[Bill Item ID]], BillsT[Bill Item ID], BillsT[Bill No.], "")</f>
        <v/>
      </c>
      <c r="D84" s="49" t="str">
        <f ca="1">_xlfn.XLOOKUP(OrderT[[#This Row],[Bill Item ID]], BillsT[Bill Item ID], BillsT[Item Name], "")</f>
        <v/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36"/>
      <c r="Q84" s="36"/>
      <c r="R84" s="15"/>
      <c r="S84" s="15"/>
      <c r="T84" s="15"/>
      <c r="U84" s="15"/>
      <c r="X84" s="9"/>
    </row>
    <row r="85" spans="1:24" ht="15" customHeight="1">
      <c r="A85" s="15"/>
      <c r="B85" s="15"/>
      <c r="C85" s="15" t="str">
        <f ca="1">_xlfn.XLOOKUP(OrderT[[#This Row],[Bill Item ID]], BillsT[Bill Item ID], BillsT[Bill No.], "")</f>
        <v/>
      </c>
      <c r="D85" s="49" t="str">
        <f ca="1">_xlfn.XLOOKUP(OrderT[[#This Row],[Bill Item ID]], BillsT[Bill Item ID], BillsT[Item Name], "")</f>
        <v/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4" ht="15" customHeight="1">
      <c r="A86" s="15"/>
      <c r="B86" s="15"/>
      <c r="C86" s="15" t="str">
        <f ca="1">_xlfn.XLOOKUP(OrderT[[#This Row],[Bill Item ID]], BillsT[Bill Item ID], BillsT[Bill No.], "")</f>
        <v/>
      </c>
      <c r="D86" s="49" t="str">
        <f ca="1">_xlfn.XLOOKUP(OrderT[[#This Row],[Bill Item ID]], BillsT[Bill Item ID], BillsT[Item Name], "")</f>
        <v/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36"/>
      <c r="Q86" s="36"/>
      <c r="R86" s="15"/>
      <c r="S86" s="15"/>
      <c r="T86" s="15"/>
      <c r="U86" s="15"/>
      <c r="X86" s="9"/>
    </row>
    <row r="87" spans="1:24" ht="15" customHeight="1">
      <c r="A87" s="15"/>
      <c r="B87" s="15"/>
      <c r="C87" s="15" t="str">
        <f ca="1">_xlfn.XLOOKUP(OrderT[[#This Row],[Bill Item ID]], BillsT[Bill Item ID], BillsT[Bill No.], "")</f>
        <v/>
      </c>
      <c r="D87" s="49" t="str">
        <f ca="1">_xlfn.XLOOKUP(OrderT[[#This Row],[Bill Item ID]], BillsT[Bill Item ID], BillsT[Item Name], "")</f>
        <v/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36"/>
      <c r="Q87" s="36"/>
      <c r="R87" s="15"/>
      <c r="S87" s="15"/>
      <c r="T87" s="15"/>
      <c r="U87" s="15"/>
      <c r="X87" s="9"/>
    </row>
    <row r="88" spans="1:24" ht="15" customHeight="1">
      <c r="A88" s="15"/>
      <c r="B88" s="15"/>
      <c r="C88" s="15" t="str">
        <f ca="1">_xlfn.XLOOKUP(OrderT[[#This Row],[Bill Item ID]], BillsT[Bill Item ID], BillsT[Bill No.], "")</f>
        <v/>
      </c>
      <c r="D88" s="49" t="str">
        <f ca="1">_xlfn.XLOOKUP(OrderT[[#This Row],[Bill Item ID]], BillsT[Bill Item ID], BillsT[Item Name], "")</f>
        <v/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6"/>
      <c r="Q88" s="36"/>
      <c r="R88" s="15"/>
      <c r="S88" s="15"/>
      <c r="T88" s="15"/>
      <c r="U88" s="15"/>
      <c r="X88" s="9"/>
    </row>
    <row r="89" spans="1:24" ht="15" customHeight="1">
      <c r="A89" s="15"/>
      <c r="B89" s="15"/>
      <c r="C89" s="15" t="str">
        <f ca="1">_xlfn.XLOOKUP(OrderT[[#This Row],[Bill Item ID]], BillsT[Bill Item ID], BillsT[Bill No.], "")</f>
        <v/>
      </c>
      <c r="D89" s="49" t="str">
        <f ca="1">_xlfn.XLOOKUP(OrderT[[#This Row],[Bill Item ID]], BillsT[Bill Item ID], BillsT[Item Name], "")</f>
        <v/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36"/>
      <c r="Q89" s="36"/>
      <c r="R89" s="15"/>
      <c r="S89" s="15"/>
      <c r="T89" s="15"/>
      <c r="U89" s="15"/>
      <c r="X89" s="20"/>
    </row>
    <row r="90" spans="1:24" ht="15" customHeight="1">
      <c r="A90" s="15"/>
      <c r="B90" s="15"/>
      <c r="C90" s="15" t="str">
        <f ca="1">_xlfn.XLOOKUP(OrderT[[#This Row],[Bill Item ID]], BillsT[Bill Item ID], BillsT[Bill No.], "")</f>
        <v/>
      </c>
      <c r="D90" s="49" t="str">
        <f ca="1">_xlfn.XLOOKUP(OrderT[[#This Row],[Bill Item ID]], BillsT[Bill Item ID], BillsT[Item Name], "")</f>
        <v/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6"/>
      <c r="Q90" s="36"/>
      <c r="R90" s="15"/>
      <c r="S90" s="15"/>
      <c r="T90" s="15"/>
      <c r="U90" s="15"/>
      <c r="X90" s="9"/>
    </row>
    <row r="91" spans="1:24" ht="15" customHeight="1">
      <c r="A91" s="15"/>
      <c r="B91" s="15"/>
      <c r="C91" s="15" t="str">
        <f ca="1">_xlfn.XLOOKUP(OrderT[[#This Row],[Bill Item ID]], BillsT[Bill Item ID], BillsT[Bill No.], "")</f>
        <v/>
      </c>
      <c r="D91" s="49" t="str">
        <f ca="1">_xlfn.XLOOKUP(OrderT[[#This Row],[Bill Item ID]], BillsT[Bill Item ID], BillsT[Item Name], "")</f>
        <v/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36"/>
      <c r="Q91" s="36"/>
      <c r="R91" s="15"/>
      <c r="S91" s="15"/>
      <c r="T91" s="15"/>
      <c r="U91" s="15"/>
      <c r="X91" s="9"/>
    </row>
    <row r="92" spans="1:24" ht="15" customHeight="1">
      <c r="A92" s="15"/>
      <c r="B92" s="15"/>
      <c r="C92" s="15" t="str">
        <f ca="1">_xlfn.XLOOKUP(OrderT[[#This Row],[Bill Item ID]], BillsT[Bill Item ID], BillsT[Bill No.], "")</f>
        <v/>
      </c>
      <c r="D92" s="49" t="str">
        <f ca="1">_xlfn.XLOOKUP(OrderT[[#This Row],[Bill Item ID]], BillsT[Bill Item ID], BillsT[Item Name], "")</f>
        <v/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6"/>
      <c r="Q92" s="36"/>
      <c r="R92" s="15"/>
      <c r="S92" s="15"/>
      <c r="T92" s="15"/>
      <c r="U92" s="15"/>
      <c r="X92" s="9"/>
    </row>
    <row r="93" spans="1:24" ht="15" customHeight="1">
      <c r="A93" s="15"/>
      <c r="B93" s="15"/>
      <c r="C93" s="15" t="str">
        <f ca="1">_xlfn.XLOOKUP(OrderT[[#This Row],[Bill Item ID]], BillsT[Bill Item ID], BillsT[Bill No.], "")</f>
        <v/>
      </c>
      <c r="D93" s="49" t="str">
        <f ca="1">_xlfn.XLOOKUP(OrderT[[#This Row],[Bill Item ID]], BillsT[Bill Item ID], BillsT[Item Name], "")</f>
        <v/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36"/>
      <c r="Q93" s="36"/>
      <c r="R93" s="15"/>
      <c r="S93" s="15"/>
      <c r="T93" s="15"/>
      <c r="U93" s="15"/>
      <c r="X93" s="9"/>
    </row>
    <row r="94" spans="1:24" ht="15" customHeight="1">
      <c r="A94" s="15"/>
      <c r="B94" s="15"/>
      <c r="C94" s="15" t="str">
        <f ca="1">_xlfn.XLOOKUP(OrderT[[#This Row],[Bill Item ID]], BillsT[Bill Item ID], BillsT[Bill No.], "")</f>
        <v/>
      </c>
      <c r="D94" s="49" t="str">
        <f ca="1">_xlfn.XLOOKUP(OrderT[[#This Row],[Bill Item ID]], BillsT[Bill Item ID], BillsT[Item Name], "")</f>
        <v/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36"/>
      <c r="Q94" s="36"/>
      <c r="R94" s="15"/>
      <c r="S94" s="15"/>
      <c r="T94" s="15"/>
      <c r="U94" s="15"/>
      <c r="X94" s="9"/>
    </row>
    <row r="95" spans="1:24" ht="15" customHeight="1">
      <c r="A95" s="15"/>
      <c r="B95" s="15"/>
      <c r="C95" s="15" t="str">
        <f ca="1">_xlfn.XLOOKUP(OrderT[[#This Row],[Bill Item ID]], BillsT[Bill Item ID], BillsT[Bill No.], "")</f>
        <v/>
      </c>
      <c r="D95" s="49" t="str">
        <f ca="1">_xlfn.XLOOKUP(OrderT[[#This Row],[Bill Item ID]], BillsT[Bill Item ID], BillsT[Item Name], "")</f>
        <v/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36"/>
      <c r="Q95" s="36"/>
      <c r="R95" s="15"/>
      <c r="S95" s="15"/>
      <c r="T95" s="15"/>
      <c r="U95" s="15"/>
      <c r="X95" s="9"/>
    </row>
    <row r="96" spans="1:24" ht="15" customHeight="1">
      <c r="A96" s="15"/>
      <c r="B96" s="15"/>
      <c r="C96" s="15" t="str">
        <f ca="1">_xlfn.XLOOKUP(OrderT[[#This Row],[Bill Item ID]], BillsT[Bill Item ID], BillsT[Bill No.], "")</f>
        <v/>
      </c>
      <c r="D96" s="49" t="str">
        <f ca="1">_xlfn.XLOOKUP(OrderT[[#This Row],[Bill Item ID]], BillsT[Bill Item ID], BillsT[Item Name], "")</f>
        <v/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36"/>
      <c r="Q96" s="36"/>
      <c r="R96" s="15"/>
      <c r="S96" s="15"/>
      <c r="T96" s="15"/>
      <c r="U96" s="15"/>
    </row>
    <row r="97" spans="1:21" ht="15" customHeight="1">
      <c r="A97" s="15"/>
      <c r="B97" s="15"/>
      <c r="C97" s="15" t="str">
        <f ca="1">_xlfn.XLOOKUP(OrderT[[#This Row],[Bill Item ID]], BillsT[Bill Item ID], BillsT[Bill No.], "")</f>
        <v/>
      </c>
      <c r="D97" s="49" t="str">
        <f ca="1">_xlfn.XLOOKUP(OrderT[[#This Row],[Bill Item ID]], BillsT[Bill Item ID], BillsT[Item Name], "")</f>
        <v/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36"/>
      <c r="Q97" s="36"/>
      <c r="R97" s="15"/>
      <c r="S97" s="15"/>
      <c r="T97" s="15"/>
      <c r="U97" s="15"/>
    </row>
    <row r="98" spans="1:21" ht="15" customHeight="1">
      <c r="A98" s="15"/>
      <c r="B98" s="15"/>
      <c r="C98" s="15" t="str">
        <f ca="1">_xlfn.XLOOKUP(OrderT[[#This Row],[Bill Item ID]], BillsT[Bill Item ID], BillsT[Bill No.], "")</f>
        <v/>
      </c>
      <c r="D98" s="49" t="str">
        <f ca="1">_xlfn.XLOOKUP(OrderT[[#This Row],[Bill Item ID]], BillsT[Bill Item ID], BillsT[Item Name], "")</f>
        <v/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36"/>
      <c r="Q98" s="36"/>
      <c r="R98" s="15"/>
      <c r="S98" s="15"/>
      <c r="T98" s="15"/>
      <c r="U98" s="15"/>
    </row>
    <row r="99" spans="1:21" ht="15" customHeight="1">
      <c r="A99" s="15"/>
      <c r="B99" s="15"/>
      <c r="C99" s="15" t="str">
        <f ca="1">_xlfn.XLOOKUP(OrderT[[#This Row],[Bill Item ID]], BillsT[Bill Item ID], BillsT[Bill No.], "")</f>
        <v/>
      </c>
      <c r="D99" s="49" t="str">
        <f ca="1">_xlfn.XLOOKUP(OrderT[[#This Row],[Bill Item ID]], BillsT[Bill Item ID], BillsT[Item Name], "")</f>
        <v/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36"/>
      <c r="Q99" s="36"/>
      <c r="R99" s="15"/>
      <c r="S99" s="15"/>
      <c r="T99" s="15"/>
      <c r="U99" s="15"/>
    </row>
    <row r="100" spans="1:21" ht="15" customHeight="1">
      <c r="A100" s="15"/>
      <c r="B100" s="15"/>
      <c r="C100" s="15" t="str">
        <f ca="1">_xlfn.XLOOKUP(OrderT[[#This Row],[Bill Item ID]], BillsT[Bill Item ID], BillsT[Bill No.], "")</f>
        <v/>
      </c>
      <c r="D100" s="49" t="str">
        <f ca="1">_xlfn.XLOOKUP(OrderT[[#This Row],[Bill Item ID]], BillsT[Bill Item ID], BillsT[Item Name], "")</f>
        <v/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36"/>
      <c r="Q100" s="36"/>
      <c r="R100" s="15"/>
      <c r="S100" s="15"/>
      <c r="T100" s="15"/>
      <c r="U100" s="15"/>
    </row>
    <row r="101" spans="1:21" s="22" customFormat="1" ht="15" customHeight="1">
      <c r="A101" s="15"/>
      <c r="B101" s="15"/>
      <c r="C101" s="15" t="str">
        <f ca="1">_xlfn.XLOOKUP(OrderT[[#This Row],[Bill Item ID]], BillsT[Bill Item ID], BillsT[Bill No.], "")</f>
        <v/>
      </c>
      <c r="D101" s="49" t="str">
        <f ca="1">_xlfn.XLOOKUP(OrderT[[#This Row],[Bill Item ID]], BillsT[Bill Item ID], BillsT[Item Name], "")</f>
        <v/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36"/>
      <c r="Q101" s="36"/>
      <c r="R101" s="15"/>
      <c r="S101" s="15"/>
      <c r="T101" s="15"/>
      <c r="U101" s="15"/>
    </row>
    <row r="102" spans="1:21" ht="15" customHeight="1">
      <c r="A102" s="15"/>
      <c r="B102" s="15"/>
      <c r="C102" s="15" t="str">
        <f ca="1">_xlfn.XLOOKUP(OrderT[[#This Row],[Bill Item ID]], BillsT[Bill Item ID], BillsT[Bill No.], "")</f>
        <v/>
      </c>
      <c r="D102" s="49" t="str">
        <f ca="1">_xlfn.XLOOKUP(OrderT[[#This Row],[Bill Item ID]], BillsT[Bill Item ID], BillsT[Item Name], "")</f>
        <v/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36"/>
      <c r="Q102" s="36"/>
      <c r="R102" s="15"/>
      <c r="S102" s="15"/>
      <c r="T102" s="15"/>
      <c r="U102" s="15"/>
    </row>
    <row r="103" spans="1:21" ht="15" customHeight="1">
      <c r="A103" s="15"/>
      <c r="B103" s="15"/>
      <c r="C103" s="15" t="str">
        <f ca="1">_xlfn.XLOOKUP(OrderT[[#This Row],[Bill Item ID]], BillsT[Bill Item ID], BillsT[Bill No.], "")</f>
        <v/>
      </c>
      <c r="D103" s="49" t="str">
        <f ca="1">_xlfn.XLOOKUP(OrderT[[#This Row],[Bill Item ID]], BillsT[Bill Item ID], BillsT[Item Name], "")</f>
        <v/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36"/>
      <c r="Q103" s="36"/>
      <c r="R103" s="15"/>
      <c r="S103" s="15"/>
      <c r="T103" s="15"/>
      <c r="U103" s="15"/>
    </row>
    <row r="104" spans="1:21" ht="15" customHeight="1">
      <c r="A104" s="15"/>
      <c r="B104" s="15"/>
      <c r="C104" s="15" t="str">
        <f ca="1">_xlfn.XLOOKUP(OrderT[[#This Row],[Bill Item ID]], BillsT[Bill Item ID], BillsT[Bill No.], "")</f>
        <v/>
      </c>
      <c r="D104" s="49" t="str">
        <f ca="1">_xlfn.XLOOKUP(OrderT[[#This Row],[Bill Item ID]], BillsT[Bill Item ID], BillsT[Item Name], "")</f>
        <v/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36"/>
      <c r="Q104" s="36"/>
      <c r="R104" s="15"/>
      <c r="S104" s="15"/>
      <c r="T104" s="15"/>
      <c r="U104" s="15"/>
    </row>
    <row r="105" spans="1:21" ht="15" customHeight="1">
      <c r="A105" s="15"/>
      <c r="B105" s="15"/>
      <c r="C105" s="15" t="str">
        <f ca="1">_xlfn.XLOOKUP(OrderT[[#This Row],[Bill Item ID]], BillsT[Bill Item ID], BillsT[Bill No.], "")</f>
        <v/>
      </c>
      <c r="D105" s="49" t="str">
        <f ca="1">_xlfn.XLOOKUP(OrderT[[#This Row],[Bill Item ID]], BillsT[Bill Item ID], BillsT[Item Name], "")</f>
        <v/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36"/>
      <c r="Q105" s="36"/>
      <c r="R105" s="15"/>
      <c r="S105" s="15"/>
      <c r="T105" s="15"/>
      <c r="U105" s="15"/>
    </row>
    <row r="106" spans="1:21" ht="15" customHeight="1">
      <c r="A106" s="15"/>
      <c r="B106" s="15"/>
      <c r="C106" s="15" t="str">
        <f ca="1">_xlfn.XLOOKUP(OrderT[[#This Row],[Bill Item ID]], BillsT[Bill Item ID], BillsT[Bill No.], "")</f>
        <v/>
      </c>
      <c r="D106" s="49" t="str">
        <f ca="1">_xlfn.XLOOKUP(OrderT[[#This Row],[Bill Item ID]], BillsT[Bill Item ID], BillsT[Item Name], "")</f>
        <v/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36"/>
      <c r="Q106" s="36"/>
      <c r="R106" s="15"/>
      <c r="S106" s="15"/>
      <c r="T106" s="15"/>
      <c r="U106" s="15"/>
    </row>
    <row r="107" spans="1:21" ht="15" customHeight="1">
      <c r="A107" s="15"/>
      <c r="B107" s="15"/>
      <c r="C107" s="15" t="str">
        <f ca="1">_xlfn.XLOOKUP(OrderT[[#This Row],[Bill Item ID]], BillsT[Bill Item ID], BillsT[Bill No.], "")</f>
        <v/>
      </c>
      <c r="D107" s="49" t="str">
        <f ca="1">_xlfn.XLOOKUP(OrderT[[#This Row],[Bill Item ID]], BillsT[Bill Item ID], BillsT[Item Name], "")</f>
        <v/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36"/>
      <c r="Q107" s="36"/>
      <c r="R107" s="15"/>
      <c r="S107" s="15"/>
      <c r="T107" s="15"/>
      <c r="U107" s="15"/>
    </row>
    <row r="108" spans="1:21" ht="15" customHeight="1">
      <c r="A108" s="15"/>
      <c r="B108" s="15"/>
      <c r="C108" s="15" t="str">
        <f ca="1">_xlfn.XLOOKUP(OrderT[[#This Row],[Bill Item ID]], BillsT[Bill Item ID], BillsT[Bill No.], "")</f>
        <v/>
      </c>
      <c r="D108" s="49" t="str">
        <f ca="1">_xlfn.XLOOKUP(OrderT[[#This Row],[Bill Item ID]], BillsT[Bill Item ID], BillsT[Item Name], "")</f>
        <v/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36"/>
      <c r="Q108" s="36"/>
      <c r="R108" s="15"/>
      <c r="S108" s="15"/>
      <c r="T108" s="15"/>
      <c r="U108" s="15"/>
    </row>
    <row r="109" spans="1:21" ht="15" customHeight="1">
      <c r="A109" s="15"/>
      <c r="B109" s="15"/>
      <c r="C109" s="15" t="str">
        <f ca="1">_xlfn.XLOOKUP(OrderT[[#This Row],[Bill Item ID]], BillsT[Bill Item ID], BillsT[Bill No.], "")</f>
        <v/>
      </c>
      <c r="D109" s="49" t="str">
        <f ca="1">_xlfn.XLOOKUP(OrderT[[#This Row],[Bill Item ID]], BillsT[Bill Item ID], BillsT[Item Name], "")</f>
        <v/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36"/>
      <c r="Q109" s="36"/>
      <c r="R109" s="15"/>
      <c r="S109" s="15"/>
      <c r="T109" s="15"/>
      <c r="U109" s="15"/>
    </row>
    <row r="110" spans="1:21" ht="15" customHeight="1">
      <c r="A110" s="15"/>
      <c r="B110" s="15"/>
      <c r="C110" s="15" t="str">
        <f ca="1">_xlfn.XLOOKUP(OrderT[[#This Row],[Bill Item ID]], BillsT[Bill Item ID], BillsT[Bill No.], "")</f>
        <v/>
      </c>
      <c r="D110" s="49" t="str">
        <f ca="1">_xlfn.XLOOKUP(OrderT[[#This Row],[Bill Item ID]], BillsT[Bill Item ID], BillsT[Item Name], "")</f>
        <v/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36"/>
      <c r="Q110" s="36"/>
      <c r="R110" s="15"/>
      <c r="S110" s="15"/>
      <c r="T110" s="15"/>
      <c r="U110" s="15"/>
    </row>
    <row r="111" spans="1:21" ht="15" customHeight="1">
      <c r="A111" s="15"/>
      <c r="B111" s="15"/>
      <c r="C111" s="15" t="str">
        <f ca="1">_xlfn.XLOOKUP(OrderT[[#This Row],[Bill Item ID]], BillsT[Bill Item ID], BillsT[Bill No.], "")</f>
        <v/>
      </c>
      <c r="D111" s="49" t="str">
        <f ca="1">_xlfn.XLOOKUP(OrderT[[#This Row],[Bill Item ID]], BillsT[Bill Item ID], BillsT[Item Name], "")</f>
        <v/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36"/>
      <c r="Q111" s="36"/>
      <c r="R111" s="15"/>
      <c r="S111" s="15"/>
      <c r="T111" s="15"/>
      <c r="U111" s="15"/>
    </row>
    <row r="112" spans="1:21" ht="15" customHeight="1">
      <c r="A112" s="15"/>
      <c r="B112" s="15"/>
      <c r="C112" s="15" t="str">
        <f ca="1">_xlfn.XLOOKUP(OrderT[[#This Row],[Bill Item ID]], BillsT[Bill Item ID], BillsT[Bill No.], "")</f>
        <v/>
      </c>
      <c r="D112" s="49" t="str">
        <f ca="1">_xlfn.XLOOKUP(OrderT[[#This Row],[Bill Item ID]], BillsT[Bill Item ID], BillsT[Item Name], "")</f>
        <v/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36"/>
      <c r="Q112" s="36"/>
      <c r="R112" s="15"/>
      <c r="S112" s="15"/>
      <c r="T112" s="15"/>
      <c r="U112" s="15"/>
    </row>
    <row r="113" spans="1:21" ht="15" customHeight="1">
      <c r="A113" s="15"/>
      <c r="B113" s="15"/>
      <c r="C113" s="15" t="str">
        <f ca="1">_xlfn.XLOOKUP(OrderT[[#This Row],[Bill Item ID]], BillsT[Bill Item ID], BillsT[Bill No.], "")</f>
        <v/>
      </c>
      <c r="D113" s="49" t="str">
        <f ca="1">_xlfn.XLOOKUP(OrderT[[#This Row],[Bill Item ID]], BillsT[Bill Item ID], BillsT[Item Name], "")</f>
        <v/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36"/>
      <c r="Q113" s="36"/>
      <c r="R113" s="15"/>
      <c r="S113" s="15"/>
      <c r="T113" s="15"/>
      <c r="U113" s="15"/>
    </row>
    <row r="114" spans="1:21" ht="15" customHeight="1">
      <c r="A114" s="15"/>
      <c r="B114" s="15"/>
      <c r="C114" s="15" t="str">
        <f ca="1">_xlfn.XLOOKUP(OrderT[[#This Row],[Bill Item ID]], BillsT[Bill Item ID], BillsT[Bill No.], "")</f>
        <v/>
      </c>
      <c r="D114" s="49" t="str">
        <f ca="1">_xlfn.XLOOKUP(OrderT[[#This Row],[Bill Item ID]], BillsT[Bill Item ID], BillsT[Item Name], "")</f>
        <v/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36"/>
      <c r="Q114" s="36"/>
      <c r="R114" s="15"/>
      <c r="S114" s="15"/>
      <c r="T114" s="15"/>
      <c r="U114" s="15"/>
    </row>
    <row r="115" spans="1:21" ht="15" customHeight="1">
      <c r="A115" s="15"/>
      <c r="B115" s="15"/>
      <c r="C115" s="15" t="str">
        <f ca="1">_xlfn.XLOOKUP(OrderT[[#This Row],[Bill Item ID]], BillsT[Bill Item ID], BillsT[Bill No.], "")</f>
        <v/>
      </c>
      <c r="D115" s="49" t="str">
        <f ca="1">_xlfn.XLOOKUP(OrderT[[#This Row],[Bill Item ID]], BillsT[Bill Item ID], BillsT[Item Name], "")</f>
        <v/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36"/>
      <c r="Q115" s="36"/>
      <c r="R115" s="15"/>
      <c r="S115" s="15"/>
      <c r="T115" s="15"/>
      <c r="U115" s="15"/>
    </row>
    <row r="116" spans="1:21" s="22" customFormat="1" ht="15" customHeight="1">
      <c r="A116" s="15"/>
      <c r="B116" s="15"/>
      <c r="C116" s="15" t="str">
        <f ca="1">_xlfn.XLOOKUP(OrderT[[#This Row],[Bill Item ID]], BillsT[Bill Item ID], BillsT[Bill No.], "")</f>
        <v/>
      </c>
      <c r="D116" s="49" t="str">
        <f ca="1">_xlfn.XLOOKUP(OrderT[[#This Row],[Bill Item ID]], BillsT[Bill Item ID], BillsT[Item Name], "")</f>
        <v/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36"/>
      <c r="Q116" s="36"/>
      <c r="R116" s="15"/>
      <c r="S116" s="15"/>
      <c r="T116" s="15"/>
      <c r="U116" s="15"/>
    </row>
    <row r="117" spans="1:21" ht="15" customHeight="1">
      <c r="A117" s="15"/>
      <c r="B117" s="15"/>
      <c r="C117" s="15" t="str">
        <f ca="1">_xlfn.XLOOKUP(OrderT[[#This Row],[Bill Item ID]], BillsT[Bill Item ID], BillsT[Bill No.], "")</f>
        <v/>
      </c>
      <c r="D117" s="49" t="str">
        <f ca="1">_xlfn.XLOOKUP(OrderT[[#This Row],[Bill Item ID]], BillsT[Bill Item ID], BillsT[Item Name], "")</f>
        <v/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36"/>
      <c r="Q117" s="36"/>
      <c r="R117" s="15"/>
      <c r="S117" s="15"/>
      <c r="T117" s="15"/>
      <c r="U117" s="15"/>
    </row>
    <row r="118" spans="1:21" ht="15" customHeight="1">
      <c r="A118" s="15"/>
      <c r="B118" s="15"/>
      <c r="C118" s="15" t="str">
        <f ca="1">_xlfn.XLOOKUP(OrderT[[#This Row],[Bill Item ID]], BillsT[Bill Item ID], BillsT[Bill No.], "")</f>
        <v/>
      </c>
      <c r="D118" s="49" t="str">
        <f ca="1">_xlfn.XLOOKUP(OrderT[[#This Row],[Bill Item ID]], BillsT[Bill Item ID], BillsT[Item Name], "")</f>
        <v/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36"/>
      <c r="Q118" s="36"/>
      <c r="R118" s="15"/>
      <c r="S118" s="15"/>
      <c r="T118" s="15"/>
      <c r="U118" s="15"/>
    </row>
    <row r="119" spans="1:21" ht="15" customHeight="1">
      <c r="A119" s="15"/>
      <c r="B119" s="15"/>
      <c r="C119" s="15" t="str">
        <f ca="1">_xlfn.XLOOKUP(OrderT[[#This Row],[Bill Item ID]], BillsT[Bill Item ID], BillsT[Bill No.], "")</f>
        <v/>
      </c>
      <c r="D119" s="49" t="str">
        <f ca="1">_xlfn.XLOOKUP(OrderT[[#This Row],[Bill Item ID]], BillsT[Bill Item ID], BillsT[Item Name], "")</f>
        <v/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36"/>
      <c r="Q119" s="36"/>
      <c r="R119" s="15"/>
      <c r="S119" s="15"/>
      <c r="T119" s="15"/>
      <c r="U119" s="15"/>
    </row>
    <row r="120" spans="1:21" ht="15" customHeight="1">
      <c r="A120" s="15"/>
      <c r="B120" s="15"/>
      <c r="C120" s="15" t="str">
        <f ca="1">_xlfn.XLOOKUP(OrderT[[#This Row],[Bill Item ID]], BillsT[Bill Item ID], BillsT[Bill No.], "")</f>
        <v/>
      </c>
      <c r="D120" s="49" t="str">
        <f ca="1">_xlfn.XLOOKUP(OrderT[[#This Row],[Bill Item ID]], BillsT[Bill Item ID], BillsT[Item Name], "")</f>
        <v/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36"/>
      <c r="Q120" s="36"/>
      <c r="R120" s="15"/>
      <c r="S120" s="15"/>
      <c r="T120" s="15"/>
      <c r="U120" s="15"/>
    </row>
    <row r="121" spans="1:21" ht="15" customHeight="1">
      <c r="A121" s="15"/>
      <c r="B121" s="15"/>
      <c r="C121" s="15" t="str">
        <f ca="1">_xlfn.XLOOKUP(OrderT[[#This Row],[Bill Item ID]], BillsT[Bill Item ID], BillsT[Bill No.], "")</f>
        <v/>
      </c>
      <c r="D121" s="49" t="str">
        <f ca="1">_xlfn.XLOOKUP(OrderT[[#This Row],[Bill Item ID]], BillsT[Bill Item ID], BillsT[Item Name], "")</f>
        <v/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36"/>
      <c r="Q121" s="36"/>
      <c r="R121" s="15"/>
      <c r="S121" s="15"/>
      <c r="T121" s="15"/>
      <c r="U121" s="15"/>
    </row>
    <row r="122" spans="1:21" ht="15" customHeight="1">
      <c r="A122" s="15"/>
      <c r="B122" s="15"/>
      <c r="C122" s="15" t="str">
        <f ca="1">_xlfn.XLOOKUP(OrderT[[#This Row],[Bill Item ID]], BillsT[Bill Item ID], BillsT[Bill No.], "")</f>
        <v/>
      </c>
      <c r="D122" s="49" t="str">
        <f ca="1">_xlfn.XLOOKUP(OrderT[[#This Row],[Bill Item ID]], BillsT[Bill Item ID], BillsT[Item Name], "")</f>
        <v/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36"/>
      <c r="Q122" s="36"/>
      <c r="R122" s="15"/>
      <c r="S122" s="15"/>
      <c r="T122" s="15"/>
      <c r="U122" s="15"/>
    </row>
    <row r="123" spans="1:21" ht="15" customHeight="1">
      <c r="A123" s="15"/>
      <c r="B123" s="15"/>
      <c r="C123" s="15" t="str">
        <f ca="1">_xlfn.XLOOKUP(OrderT[[#This Row],[Bill Item ID]], BillsT[Bill Item ID], BillsT[Bill No.], "")</f>
        <v/>
      </c>
      <c r="D123" s="49" t="str">
        <f ca="1">_xlfn.XLOOKUP(OrderT[[#This Row],[Bill Item ID]], BillsT[Bill Item ID], BillsT[Item Name], "")</f>
        <v/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36"/>
      <c r="Q123" s="36"/>
      <c r="R123" s="15"/>
      <c r="S123" s="15"/>
      <c r="T123" s="15"/>
      <c r="U123" s="15"/>
    </row>
    <row r="124" spans="1:21" ht="15" customHeight="1">
      <c r="A124" s="15"/>
      <c r="B124" s="15"/>
      <c r="C124" s="15" t="str">
        <f ca="1">_xlfn.XLOOKUP(OrderT[[#This Row],[Bill Item ID]], BillsT[Bill Item ID], BillsT[Bill No.], "")</f>
        <v/>
      </c>
      <c r="D124" s="49" t="str">
        <f ca="1">_xlfn.XLOOKUP(OrderT[[#This Row],[Bill Item ID]], BillsT[Bill Item ID], BillsT[Item Name], "")</f>
        <v/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36"/>
      <c r="Q124" s="36"/>
      <c r="R124" s="15"/>
      <c r="S124" s="15"/>
      <c r="T124" s="15"/>
      <c r="U124" s="15"/>
    </row>
    <row r="125" spans="1:21" ht="15" customHeight="1">
      <c r="A125" s="15"/>
      <c r="B125" s="15"/>
      <c r="C125" s="15" t="str">
        <f ca="1">_xlfn.XLOOKUP(OrderT[[#This Row],[Bill Item ID]], BillsT[Bill Item ID], BillsT[Bill No.], "")</f>
        <v/>
      </c>
      <c r="D125" s="49" t="str">
        <f ca="1">_xlfn.XLOOKUP(OrderT[[#This Row],[Bill Item ID]], BillsT[Bill Item ID], BillsT[Item Name], "")</f>
        <v/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36"/>
      <c r="Q125" s="36"/>
      <c r="R125" s="15"/>
      <c r="S125" s="15"/>
      <c r="T125" s="15"/>
      <c r="U125" s="15"/>
    </row>
    <row r="126" spans="1:21" ht="15" customHeight="1">
      <c r="A126" s="15"/>
      <c r="B126" s="15"/>
      <c r="C126" s="15" t="str">
        <f ca="1">_xlfn.XLOOKUP(OrderT[[#This Row],[Bill Item ID]], BillsT[Bill Item ID], BillsT[Bill No.], "")</f>
        <v/>
      </c>
      <c r="D126" s="49" t="str">
        <f ca="1">_xlfn.XLOOKUP(OrderT[[#This Row],[Bill Item ID]], BillsT[Bill Item ID], BillsT[Item Name], "")</f>
        <v/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36"/>
      <c r="Q126" s="36"/>
      <c r="R126" s="15"/>
      <c r="S126" s="15"/>
      <c r="T126" s="15"/>
      <c r="U126" s="15"/>
    </row>
    <row r="127" spans="1:21" ht="15" customHeight="1">
      <c r="A127" s="15"/>
      <c r="B127" s="15"/>
      <c r="C127" s="15" t="str">
        <f ca="1">_xlfn.XLOOKUP(OrderT[[#This Row],[Bill Item ID]], BillsT[Bill Item ID], BillsT[Bill No.], "")</f>
        <v/>
      </c>
      <c r="D127" s="49" t="str">
        <f ca="1">_xlfn.XLOOKUP(OrderT[[#This Row],[Bill Item ID]], BillsT[Bill Item ID], BillsT[Item Name], "")</f>
        <v/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36"/>
      <c r="Q127" s="36"/>
      <c r="R127" s="15"/>
      <c r="S127" s="15"/>
      <c r="T127" s="15"/>
      <c r="U127" s="15"/>
    </row>
    <row r="128" spans="1:21" ht="15" customHeight="1">
      <c r="A128" s="15"/>
      <c r="B128" s="15"/>
      <c r="C128" s="15" t="str">
        <f ca="1">_xlfn.XLOOKUP(OrderT[[#This Row],[Bill Item ID]], BillsT[Bill Item ID], BillsT[Bill No.], "")</f>
        <v/>
      </c>
      <c r="D128" s="49" t="str">
        <f ca="1">_xlfn.XLOOKUP(OrderT[[#This Row],[Bill Item ID]], BillsT[Bill Item ID], BillsT[Item Name], "")</f>
        <v/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36"/>
      <c r="Q128" s="36"/>
      <c r="R128" s="15"/>
      <c r="S128" s="15"/>
      <c r="T128" s="15"/>
      <c r="U128" s="15"/>
    </row>
    <row r="129" spans="1:21" ht="15" customHeight="1">
      <c r="A129" s="15"/>
      <c r="B129" s="15"/>
      <c r="C129" s="15" t="str">
        <f ca="1">_xlfn.XLOOKUP(OrderT[[#This Row],[Bill Item ID]], BillsT[Bill Item ID], BillsT[Bill No.], "")</f>
        <v/>
      </c>
      <c r="D129" s="49" t="str">
        <f ca="1">_xlfn.XLOOKUP(OrderT[[#This Row],[Bill Item ID]], BillsT[Bill Item ID], BillsT[Item Name], "")</f>
        <v/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36"/>
      <c r="Q129" s="36"/>
      <c r="R129" s="15"/>
      <c r="S129" s="15"/>
      <c r="T129" s="15"/>
      <c r="U129" s="15"/>
    </row>
    <row r="130" spans="1:21" ht="15" customHeight="1">
      <c r="A130" s="15"/>
      <c r="B130" s="15"/>
      <c r="C130" s="15" t="str">
        <f ca="1">_xlfn.XLOOKUP(OrderT[[#This Row],[Bill Item ID]], BillsT[Bill Item ID], BillsT[Bill No.], "")</f>
        <v/>
      </c>
      <c r="D130" s="49" t="str">
        <f ca="1">_xlfn.XLOOKUP(OrderT[[#This Row],[Bill Item ID]], BillsT[Bill Item ID], BillsT[Item Name], "")</f>
        <v/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36"/>
      <c r="Q130" s="36"/>
      <c r="R130" s="15"/>
      <c r="S130" s="15"/>
      <c r="T130" s="15"/>
      <c r="U130" s="15"/>
    </row>
    <row r="131" spans="1:21" ht="15" customHeight="1">
      <c r="A131" s="15"/>
      <c r="B131" s="15"/>
      <c r="C131" s="15" t="str">
        <f ca="1">_xlfn.XLOOKUP(OrderT[[#This Row],[Bill Item ID]], BillsT[Bill Item ID], BillsT[Bill No.], "")</f>
        <v/>
      </c>
      <c r="D131" s="49" t="str">
        <f ca="1">_xlfn.XLOOKUP(OrderT[[#This Row],[Bill Item ID]], BillsT[Bill Item ID], BillsT[Item Name], "")</f>
        <v/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36"/>
      <c r="Q131" s="36"/>
      <c r="R131" s="15"/>
      <c r="S131" s="15"/>
      <c r="T131" s="15"/>
      <c r="U131" s="15"/>
    </row>
    <row r="132" spans="1:21" ht="15" customHeight="1">
      <c r="A132" s="15"/>
      <c r="B132" s="15"/>
      <c r="C132" s="15" t="str">
        <f ca="1">_xlfn.XLOOKUP(OrderT[[#This Row],[Bill Item ID]], BillsT[Bill Item ID], BillsT[Bill No.], "")</f>
        <v/>
      </c>
      <c r="D132" s="49" t="str">
        <f ca="1">_xlfn.XLOOKUP(OrderT[[#This Row],[Bill Item ID]], BillsT[Bill Item ID], BillsT[Item Name], "")</f>
        <v/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36"/>
      <c r="Q132" s="36"/>
      <c r="R132" s="15"/>
      <c r="S132" s="15"/>
      <c r="T132" s="15"/>
      <c r="U132" s="15"/>
    </row>
    <row r="133" spans="1:21" ht="15" customHeight="1">
      <c r="A133" s="15"/>
      <c r="B133" s="15"/>
      <c r="C133" s="15" t="str">
        <f ca="1">_xlfn.XLOOKUP(OrderT[[#This Row],[Bill Item ID]], BillsT[Bill Item ID], BillsT[Bill No.], "")</f>
        <v/>
      </c>
      <c r="D133" s="49" t="str">
        <f ca="1">_xlfn.XLOOKUP(OrderT[[#This Row],[Bill Item ID]], BillsT[Bill Item ID], BillsT[Item Name], "")</f>
        <v/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36"/>
      <c r="Q133" s="36"/>
      <c r="R133" s="15"/>
      <c r="S133" s="15"/>
      <c r="T133" s="15"/>
      <c r="U133" s="15"/>
    </row>
    <row r="134" spans="1:21" ht="15" customHeight="1">
      <c r="A134" s="15"/>
      <c r="B134" s="15"/>
      <c r="C134" s="15" t="str">
        <f ca="1">_xlfn.XLOOKUP(OrderT[[#This Row],[Bill Item ID]], BillsT[Bill Item ID], BillsT[Bill No.], "")</f>
        <v/>
      </c>
      <c r="D134" s="49" t="str">
        <f ca="1">_xlfn.XLOOKUP(OrderT[[#This Row],[Bill Item ID]], BillsT[Bill Item ID], BillsT[Item Name], "")</f>
        <v/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36"/>
      <c r="Q134" s="36"/>
      <c r="R134" s="15"/>
      <c r="S134" s="15"/>
      <c r="T134" s="15"/>
      <c r="U134" s="15"/>
    </row>
    <row r="135" spans="1:21" ht="15" customHeight="1">
      <c r="A135" s="15"/>
      <c r="B135" s="15"/>
      <c r="C135" s="15" t="str">
        <f ca="1">_xlfn.XLOOKUP(OrderT[[#This Row],[Bill Item ID]], BillsT[Bill Item ID], BillsT[Bill No.], "")</f>
        <v/>
      </c>
      <c r="D135" s="49" t="str">
        <f ca="1">_xlfn.XLOOKUP(OrderT[[#This Row],[Bill Item ID]], BillsT[Bill Item ID], BillsT[Item Name], "")</f>
        <v/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36"/>
      <c r="Q135" s="36"/>
      <c r="R135" s="15"/>
      <c r="S135" s="15"/>
      <c r="T135" s="15"/>
      <c r="U135" s="15"/>
    </row>
    <row r="136" spans="1:21" ht="15" customHeight="1">
      <c r="A136" s="15"/>
      <c r="B136" s="15"/>
      <c r="C136" s="15" t="str">
        <f ca="1">_xlfn.XLOOKUP(OrderT[[#This Row],[Bill Item ID]], BillsT[Bill Item ID], BillsT[Bill No.], "")</f>
        <v/>
      </c>
      <c r="D136" s="49" t="str">
        <f ca="1">_xlfn.XLOOKUP(OrderT[[#This Row],[Bill Item ID]], BillsT[Bill Item ID], BillsT[Item Name], "")</f>
        <v/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36"/>
      <c r="Q136" s="36"/>
      <c r="R136" s="15"/>
      <c r="S136" s="15"/>
      <c r="T136" s="15"/>
      <c r="U136" s="15"/>
    </row>
    <row r="137" spans="1:21" s="22" customFormat="1" ht="15" customHeight="1">
      <c r="A137" s="15"/>
      <c r="B137" s="15"/>
      <c r="C137" s="15" t="str">
        <f ca="1">_xlfn.XLOOKUP(OrderT[[#This Row],[Bill Item ID]], BillsT[Bill Item ID], BillsT[Bill No.], "")</f>
        <v/>
      </c>
      <c r="D137" s="49" t="str">
        <f ca="1">_xlfn.XLOOKUP(OrderT[[#This Row],[Bill Item ID]], BillsT[Bill Item ID], BillsT[Item Name], "")</f>
        <v/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36"/>
      <c r="Q137" s="36"/>
      <c r="R137" s="15"/>
      <c r="S137" s="15"/>
      <c r="T137" s="15"/>
      <c r="U137" s="15"/>
    </row>
    <row r="138" spans="1:21" ht="15" customHeight="1">
      <c r="A138" s="15"/>
      <c r="B138" s="15"/>
      <c r="C138" s="15" t="str">
        <f ca="1">_xlfn.XLOOKUP(OrderT[[#This Row],[Bill Item ID]], BillsT[Bill Item ID], BillsT[Bill No.], "")</f>
        <v/>
      </c>
      <c r="D138" s="49" t="str">
        <f ca="1">_xlfn.XLOOKUP(OrderT[[#This Row],[Bill Item ID]], BillsT[Bill Item ID], BillsT[Item Name], "")</f>
        <v/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36"/>
      <c r="Q138" s="36"/>
      <c r="R138" s="15"/>
      <c r="S138" s="15"/>
      <c r="T138" s="15"/>
      <c r="U138" s="15"/>
    </row>
    <row r="139" spans="1:21" ht="15" customHeight="1">
      <c r="A139" s="15"/>
      <c r="B139" s="15"/>
      <c r="C139" s="15" t="str">
        <f ca="1">_xlfn.XLOOKUP(OrderT[[#This Row],[Bill Item ID]], BillsT[Bill Item ID], BillsT[Bill No.], "")</f>
        <v/>
      </c>
      <c r="D139" s="49" t="str">
        <f ca="1">_xlfn.XLOOKUP(OrderT[[#This Row],[Bill Item ID]], BillsT[Bill Item ID], BillsT[Item Name], "")</f>
        <v/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36"/>
      <c r="Q139" s="36"/>
      <c r="R139" s="15"/>
      <c r="S139" s="15"/>
      <c r="T139" s="15"/>
      <c r="U139" s="15"/>
    </row>
    <row r="140" spans="1:21" ht="15" customHeight="1">
      <c r="A140" s="15"/>
      <c r="B140" s="15"/>
      <c r="C140" s="15" t="str">
        <f ca="1">_xlfn.XLOOKUP(OrderT[[#This Row],[Bill Item ID]], BillsT[Bill Item ID], BillsT[Bill No.], "")</f>
        <v/>
      </c>
      <c r="D140" s="49" t="str">
        <f ca="1">_xlfn.XLOOKUP(OrderT[[#This Row],[Bill Item ID]], BillsT[Bill Item ID], BillsT[Item Name], "")</f>
        <v/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36"/>
      <c r="Q140" s="36"/>
      <c r="R140" s="15"/>
      <c r="S140" s="15"/>
      <c r="T140" s="15"/>
      <c r="U140" s="15"/>
    </row>
    <row r="141" spans="1:21" ht="15" customHeight="1">
      <c r="A141" s="15"/>
      <c r="B141" s="15"/>
      <c r="C141" s="15" t="str">
        <f ca="1">_xlfn.XLOOKUP(OrderT[[#This Row],[Bill Item ID]], BillsT[Bill Item ID], BillsT[Bill No.], "")</f>
        <v/>
      </c>
      <c r="D141" s="49" t="str">
        <f ca="1">_xlfn.XLOOKUP(OrderT[[#This Row],[Bill Item ID]], BillsT[Bill Item ID], BillsT[Item Name], "")</f>
        <v/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36"/>
      <c r="Q141" s="36"/>
      <c r="R141" s="15"/>
      <c r="S141" s="15"/>
      <c r="T141" s="15"/>
      <c r="U141" s="15"/>
    </row>
    <row r="142" spans="1:21" ht="15" customHeight="1">
      <c r="A142" s="15"/>
      <c r="B142" s="15"/>
      <c r="C142" s="15" t="str">
        <f ca="1">_xlfn.XLOOKUP(OrderT[[#This Row],[Bill Item ID]], BillsT[Bill Item ID], BillsT[Bill No.], "")</f>
        <v/>
      </c>
      <c r="D142" s="49" t="str">
        <f ca="1">_xlfn.XLOOKUP(OrderT[[#This Row],[Bill Item ID]], BillsT[Bill Item ID], BillsT[Item Name], "")</f>
        <v/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36"/>
      <c r="Q142" s="36"/>
      <c r="R142" s="15"/>
      <c r="S142" s="15"/>
      <c r="T142" s="15"/>
      <c r="U142" s="15"/>
    </row>
    <row r="143" spans="1:21" ht="15" customHeight="1">
      <c r="A143" s="15"/>
      <c r="B143" s="15"/>
      <c r="C143" s="15" t="str">
        <f ca="1">_xlfn.XLOOKUP(OrderT[[#This Row],[Bill Item ID]], BillsT[Bill Item ID], BillsT[Bill No.], "")</f>
        <v/>
      </c>
      <c r="D143" s="49" t="str">
        <f ca="1">_xlfn.XLOOKUP(OrderT[[#This Row],[Bill Item ID]], BillsT[Bill Item ID], BillsT[Item Name], "")</f>
        <v/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36"/>
      <c r="Q143" s="36"/>
      <c r="R143" s="15"/>
      <c r="S143" s="15"/>
      <c r="T143" s="15"/>
      <c r="U143" s="15"/>
    </row>
    <row r="144" spans="1:21" ht="15" customHeight="1">
      <c r="A144" s="15"/>
      <c r="B144" s="15"/>
      <c r="C144" s="15" t="str">
        <f ca="1">_xlfn.XLOOKUP(OrderT[[#This Row],[Bill Item ID]], BillsT[Bill Item ID], BillsT[Bill No.], "")</f>
        <v/>
      </c>
      <c r="D144" s="49" t="str">
        <f ca="1">_xlfn.XLOOKUP(OrderT[[#This Row],[Bill Item ID]], BillsT[Bill Item ID], BillsT[Item Name], "")</f>
        <v/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36"/>
      <c r="Q144" s="36"/>
      <c r="R144" s="15"/>
      <c r="S144" s="15"/>
      <c r="T144" s="15"/>
      <c r="U144" s="15"/>
    </row>
    <row r="145" spans="1:21" ht="15" customHeight="1">
      <c r="A145" s="15"/>
      <c r="B145" s="15"/>
      <c r="C145" s="15" t="str">
        <f ca="1">_xlfn.XLOOKUP(OrderT[[#This Row],[Bill Item ID]], BillsT[Bill Item ID], BillsT[Bill No.], "")</f>
        <v/>
      </c>
      <c r="D145" s="49" t="str">
        <f ca="1">_xlfn.XLOOKUP(OrderT[[#This Row],[Bill Item ID]], BillsT[Bill Item ID], BillsT[Item Name], "")</f>
        <v/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36"/>
      <c r="Q145" s="36"/>
      <c r="R145" s="15"/>
      <c r="S145" s="15"/>
      <c r="T145" s="15"/>
      <c r="U145" s="15"/>
    </row>
    <row r="146" spans="1:21" ht="15" customHeight="1">
      <c r="A146" s="15"/>
      <c r="B146" s="15"/>
      <c r="C146" s="15" t="str">
        <f ca="1">_xlfn.XLOOKUP(OrderT[[#This Row],[Bill Item ID]], BillsT[Bill Item ID], BillsT[Bill No.], "")</f>
        <v/>
      </c>
      <c r="D146" s="49" t="str">
        <f ca="1">_xlfn.XLOOKUP(OrderT[[#This Row],[Bill Item ID]], BillsT[Bill Item ID], BillsT[Item Name], "")</f>
        <v/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36"/>
      <c r="Q146" s="36"/>
      <c r="R146" s="15"/>
      <c r="S146" s="15"/>
      <c r="T146" s="15"/>
      <c r="U146" s="15"/>
    </row>
    <row r="147" spans="1:21" ht="15" customHeight="1">
      <c r="A147" s="15"/>
      <c r="B147" s="15"/>
      <c r="C147" s="15" t="str">
        <f ca="1">_xlfn.XLOOKUP(OrderT[[#This Row],[Bill Item ID]], BillsT[Bill Item ID], BillsT[Bill No.], "")</f>
        <v/>
      </c>
      <c r="D147" s="49" t="str">
        <f ca="1">_xlfn.XLOOKUP(OrderT[[#This Row],[Bill Item ID]], BillsT[Bill Item ID], BillsT[Item Name], "")</f>
        <v/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36"/>
      <c r="Q147" s="36"/>
      <c r="R147" s="15"/>
      <c r="S147" s="15"/>
      <c r="T147" s="15"/>
      <c r="U147" s="15"/>
    </row>
    <row r="148" spans="1:21" ht="15" customHeight="1">
      <c r="A148" s="15"/>
      <c r="B148" s="15"/>
      <c r="C148" s="15" t="str">
        <f ca="1">_xlfn.XLOOKUP(OrderT[[#This Row],[Bill Item ID]], BillsT[Bill Item ID], BillsT[Bill No.], "")</f>
        <v/>
      </c>
      <c r="D148" s="49" t="str">
        <f ca="1">_xlfn.XLOOKUP(OrderT[[#This Row],[Bill Item ID]], BillsT[Bill Item ID], BillsT[Item Name], "")</f>
        <v/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36"/>
      <c r="Q148" s="36"/>
      <c r="R148" s="15"/>
      <c r="S148" s="15"/>
      <c r="T148" s="15"/>
      <c r="U148" s="15"/>
    </row>
    <row r="149" spans="1:21" ht="15" customHeight="1">
      <c r="A149" s="15"/>
      <c r="B149" s="15"/>
      <c r="C149" s="15" t="str">
        <f ca="1">_xlfn.XLOOKUP(OrderT[[#This Row],[Bill Item ID]], BillsT[Bill Item ID], BillsT[Bill No.], "")</f>
        <v/>
      </c>
      <c r="D149" s="49" t="str">
        <f ca="1">_xlfn.XLOOKUP(OrderT[[#This Row],[Bill Item ID]], BillsT[Bill Item ID], BillsT[Item Name], "")</f>
        <v/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36"/>
      <c r="Q149" s="36"/>
      <c r="R149" s="15"/>
      <c r="S149" s="15"/>
      <c r="T149" s="15"/>
      <c r="U149" s="15"/>
    </row>
    <row r="150" spans="1:21" ht="15" customHeight="1">
      <c r="A150" s="15"/>
      <c r="B150" s="15"/>
      <c r="C150" s="15" t="str">
        <f ca="1">_xlfn.XLOOKUP(OrderT[[#This Row],[Bill Item ID]], BillsT[Bill Item ID], BillsT[Bill No.], "")</f>
        <v/>
      </c>
      <c r="D150" s="49" t="str">
        <f ca="1">_xlfn.XLOOKUP(OrderT[[#This Row],[Bill Item ID]], BillsT[Bill Item ID], BillsT[Item Name], "")</f>
        <v/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36"/>
      <c r="Q150" s="36"/>
      <c r="R150" s="15"/>
      <c r="S150" s="15"/>
      <c r="T150" s="15"/>
      <c r="U150" s="15"/>
    </row>
    <row r="151" spans="1:21" ht="15" customHeight="1">
      <c r="A151" s="15"/>
      <c r="B151" s="15"/>
      <c r="C151" s="15" t="str">
        <f ca="1">_xlfn.XLOOKUP(OrderT[[#This Row],[Bill Item ID]], BillsT[Bill Item ID], BillsT[Bill No.], "")</f>
        <v/>
      </c>
      <c r="D151" s="49" t="str">
        <f ca="1">_xlfn.XLOOKUP(OrderT[[#This Row],[Bill Item ID]], BillsT[Bill Item ID], BillsT[Item Name], "")</f>
        <v/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36"/>
      <c r="Q151" s="36"/>
      <c r="R151" s="15"/>
      <c r="S151" s="15"/>
      <c r="T151" s="15"/>
      <c r="U151" s="15"/>
    </row>
    <row r="152" spans="1:21" ht="15" customHeight="1">
      <c r="A152" s="15"/>
      <c r="B152" s="15"/>
      <c r="C152" s="15" t="str">
        <f ca="1">_xlfn.XLOOKUP(OrderT[[#This Row],[Bill Item ID]], BillsT[Bill Item ID], BillsT[Bill No.], "")</f>
        <v/>
      </c>
      <c r="D152" s="49" t="str">
        <f ca="1">_xlfn.XLOOKUP(OrderT[[#This Row],[Bill Item ID]], BillsT[Bill Item ID], BillsT[Item Name], "")</f>
        <v/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36"/>
      <c r="Q152" s="36"/>
      <c r="R152" s="15"/>
      <c r="S152" s="15"/>
      <c r="T152" s="15"/>
      <c r="U152" s="15"/>
    </row>
    <row r="153" spans="1:21" ht="15" customHeight="1">
      <c r="A153" s="15"/>
      <c r="B153" s="15"/>
      <c r="C153" s="15" t="str">
        <f ca="1">_xlfn.XLOOKUP(OrderT[[#This Row],[Bill Item ID]], BillsT[Bill Item ID], BillsT[Bill No.], "")</f>
        <v/>
      </c>
      <c r="D153" s="49" t="str">
        <f ca="1">_xlfn.XLOOKUP(OrderT[[#This Row],[Bill Item ID]], BillsT[Bill Item ID], BillsT[Item Name], "")</f>
        <v/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36"/>
      <c r="Q153" s="36"/>
      <c r="R153" s="15"/>
      <c r="S153" s="15"/>
      <c r="T153" s="15"/>
      <c r="U153" s="15"/>
    </row>
    <row r="154" spans="1:21" ht="15" customHeight="1">
      <c r="A154" s="15"/>
      <c r="B154" s="15"/>
      <c r="C154" s="15" t="str">
        <f ca="1">_xlfn.XLOOKUP(OrderT[[#This Row],[Bill Item ID]], BillsT[Bill Item ID], BillsT[Bill No.], "")</f>
        <v/>
      </c>
      <c r="D154" s="49" t="str">
        <f ca="1">_xlfn.XLOOKUP(OrderT[[#This Row],[Bill Item ID]], BillsT[Bill Item ID], BillsT[Item Name], "")</f>
        <v/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36"/>
      <c r="Q154" s="36"/>
      <c r="R154" s="15"/>
      <c r="S154" s="15"/>
      <c r="T154" s="15"/>
      <c r="U154" s="15"/>
    </row>
    <row r="155" spans="1:21" ht="15" customHeight="1">
      <c r="A155" s="15"/>
      <c r="B155" s="15"/>
      <c r="C155" s="15" t="str">
        <f ca="1">_xlfn.XLOOKUP(OrderT[[#This Row],[Bill Item ID]], BillsT[Bill Item ID], BillsT[Bill No.], "")</f>
        <v/>
      </c>
      <c r="D155" s="49" t="str">
        <f ca="1">_xlfn.XLOOKUP(OrderT[[#This Row],[Bill Item ID]], BillsT[Bill Item ID], BillsT[Item Name], "")</f>
        <v/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36"/>
      <c r="Q155" s="36"/>
      <c r="R155" s="15"/>
      <c r="S155" s="15"/>
      <c r="T155" s="15"/>
      <c r="U155" s="15"/>
    </row>
    <row r="156" spans="1:21" ht="15" customHeight="1">
      <c r="A156" s="15"/>
      <c r="B156" s="15"/>
      <c r="C156" s="15" t="str">
        <f ca="1">_xlfn.XLOOKUP(OrderT[[#This Row],[Bill Item ID]], BillsT[Bill Item ID], BillsT[Bill No.], "")</f>
        <v/>
      </c>
      <c r="D156" s="49" t="str">
        <f ca="1">_xlfn.XLOOKUP(OrderT[[#This Row],[Bill Item ID]], BillsT[Bill Item ID], BillsT[Item Name], "")</f>
        <v/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36"/>
      <c r="Q156" s="36"/>
      <c r="R156" s="15"/>
      <c r="S156" s="15"/>
      <c r="T156" s="15"/>
      <c r="U156" s="15"/>
    </row>
    <row r="157" spans="1:21" ht="15" customHeight="1">
      <c r="A157" s="15"/>
      <c r="B157" s="15"/>
      <c r="C157" s="15" t="str">
        <f ca="1">_xlfn.XLOOKUP(OrderT[[#This Row],[Bill Item ID]], BillsT[Bill Item ID], BillsT[Bill No.], "")</f>
        <v/>
      </c>
      <c r="D157" s="49" t="str">
        <f ca="1">_xlfn.XLOOKUP(OrderT[[#This Row],[Bill Item ID]], BillsT[Bill Item ID], BillsT[Item Name], "")</f>
        <v/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36"/>
      <c r="Q157" s="36"/>
      <c r="R157" s="15"/>
      <c r="S157" s="15"/>
      <c r="T157" s="15"/>
      <c r="U157" s="15"/>
    </row>
    <row r="158" spans="1:21" ht="15" customHeight="1">
      <c r="A158" s="15"/>
      <c r="B158" s="15"/>
      <c r="C158" s="15" t="str">
        <f ca="1">_xlfn.XLOOKUP(OrderT[[#This Row],[Bill Item ID]], BillsT[Bill Item ID], BillsT[Bill No.], "")</f>
        <v/>
      </c>
      <c r="D158" s="49" t="str">
        <f ca="1">_xlfn.XLOOKUP(OrderT[[#This Row],[Bill Item ID]], BillsT[Bill Item ID], BillsT[Item Name], "")</f>
        <v/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36"/>
      <c r="Q158" s="36"/>
      <c r="R158" s="15"/>
      <c r="S158" s="15"/>
      <c r="T158" s="15"/>
      <c r="U158" s="15"/>
    </row>
    <row r="159" spans="1:21" ht="15" customHeight="1">
      <c r="A159" s="15"/>
      <c r="B159" s="15"/>
      <c r="C159" s="15" t="str">
        <f ca="1">_xlfn.XLOOKUP(OrderT[[#This Row],[Bill Item ID]], BillsT[Bill Item ID], BillsT[Bill No.], "")</f>
        <v/>
      </c>
      <c r="D159" s="49" t="str">
        <f ca="1">_xlfn.XLOOKUP(OrderT[[#This Row],[Bill Item ID]], BillsT[Bill Item ID], BillsT[Item Name], "")</f>
        <v/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36"/>
      <c r="Q159" s="36"/>
      <c r="R159" s="15"/>
      <c r="S159" s="15"/>
      <c r="T159" s="15"/>
      <c r="U159" s="15"/>
    </row>
    <row r="160" spans="1:21" ht="15" customHeight="1">
      <c r="A160" s="15"/>
      <c r="B160" s="15"/>
      <c r="C160" s="15" t="str">
        <f ca="1">_xlfn.XLOOKUP(OrderT[[#This Row],[Bill Item ID]], BillsT[Bill Item ID], BillsT[Bill No.], "")</f>
        <v/>
      </c>
      <c r="D160" s="49" t="str">
        <f ca="1">_xlfn.XLOOKUP(OrderT[[#This Row],[Bill Item ID]], BillsT[Bill Item ID], BillsT[Item Name], "")</f>
        <v/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36"/>
      <c r="Q160" s="36"/>
      <c r="R160" s="15"/>
      <c r="S160" s="15"/>
      <c r="T160" s="15"/>
      <c r="U160" s="15"/>
    </row>
    <row r="161" spans="3:17" ht="15" customHeight="1">
      <c r="C161" t="str">
        <f ca="1">_xlfn.XLOOKUP(OrderT[[#This Row],[Bill Item ID]], BillsT[Bill Item ID], BillsT[Bill No.], "")</f>
        <v/>
      </c>
      <c r="D161" s="49" t="str">
        <f ca="1">_xlfn.XLOOKUP(OrderT[[#This Row],[Bill Item ID]], BillsT[Bill Item ID], BillsT[Item Name], "")</f>
        <v/>
      </c>
      <c r="P161" s="17"/>
      <c r="Q161" s="17"/>
    </row>
    <row r="162" spans="3:17" ht="15" customHeight="1">
      <c r="C162" t="str">
        <f ca="1">_xlfn.XLOOKUP(OrderT[[#This Row],[Bill Item ID]], BillsT[Bill Item ID], BillsT[Bill No.], "")</f>
        <v/>
      </c>
      <c r="D162" s="49" t="str">
        <f ca="1">_xlfn.XLOOKUP(OrderT[[#This Row],[Bill Item ID]], BillsT[Bill Item ID], BillsT[Item Name], "")</f>
        <v/>
      </c>
      <c r="P162" s="17"/>
      <c r="Q162" s="17"/>
    </row>
    <row r="163" spans="3:17" ht="15" customHeight="1">
      <c r="C163" t="str">
        <f ca="1">_xlfn.XLOOKUP(OrderT[[#This Row],[Bill Item ID]], BillsT[Bill Item ID], BillsT[Bill No.], "")</f>
        <v/>
      </c>
      <c r="D163" s="49" t="str">
        <f ca="1">_xlfn.XLOOKUP(OrderT[[#This Row],[Bill Item ID]], BillsT[Bill Item ID], BillsT[Item Name], "")</f>
        <v/>
      </c>
      <c r="P163" s="17"/>
      <c r="Q163" s="17"/>
    </row>
    <row r="164" spans="3:17" s="22" customFormat="1" ht="15" customHeight="1">
      <c r="C164" s="22" t="str">
        <f ca="1">_xlfn.XLOOKUP(OrderT[[#This Row],[Bill Item ID]], BillsT[Bill Item ID], BillsT[Bill No.], "")</f>
        <v/>
      </c>
      <c r="D164" s="49" t="str">
        <f ca="1">_xlfn.XLOOKUP(OrderT[[#This Row],[Bill Item ID]], BillsT[Bill Item ID], BillsT[Item Name], "")</f>
        <v/>
      </c>
      <c r="P164" s="24"/>
      <c r="Q164" s="24"/>
    </row>
    <row r="165" spans="3:17" ht="15" customHeight="1">
      <c r="C165" t="str">
        <f ca="1">_xlfn.XLOOKUP(OrderT[[#This Row],[Bill Item ID]], BillsT[Bill Item ID], BillsT[Bill No.], "")</f>
        <v/>
      </c>
      <c r="D165" s="49" t="str">
        <f ca="1">_xlfn.XLOOKUP(OrderT[[#This Row],[Bill Item ID]], BillsT[Bill Item ID], BillsT[Item Name], "")</f>
        <v/>
      </c>
      <c r="P165" s="17"/>
      <c r="Q165" s="17"/>
    </row>
    <row r="166" spans="3:17" ht="15" customHeight="1">
      <c r="C166" t="str">
        <f ca="1">_xlfn.XLOOKUP(OrderT[[#This Row],[Bill Item ID]], BillsT[Bill Item ID], BillsT[Bill No.], "")</f>
        <v/>
      </c>
      <c r="D166" s="49" t="str">
        <f ca="1">_xlfn.XLOOKUP(OrderT[[#This Row],[Bill Item ID]], BillsT[Bill Item ID], BillsT[Item Name], "")</f>
        <v/>
      </c>
      <c r="P166" s="17"/>
      <c r="Q166" s="17"/>
    </row>
    <row r="167" spans="3:17" ht="15" customHeight="1">
      <c r="C167" t="str">
        <f ca="1">_xlfn.XLOOKUP(OrderT[[#This Row],[Bill Item ID]], BillsT[Bill Item ID], BillsT[Bill No.], "")</f>
        <v/>
      </c>
      <c r="D167" s="49" t="str">
        <f ca="1">_xlfn.XLOOKUP(OrderT[[#This Row],[Bill Item ID]], BillsT[Bill Item ID], BillsT[Item Name], "")</f>
        <v/>
      </c>
      <c r="P167" s="17"/>
      <c r="Q167" s="17"/>
    </row>
    <row r="168" spans="3:17" ht="15" customHeight="1">
      <c r="C168" t="str">
        <f ca="1">_xlfn.XLOOKUP(OrderT[[#This Row],[Bill Item ID]], BillsT[Bill Item ID], BillsT[Bill No.], "")</f>
        <v/>
      </c>
      <c r="D168" s="49" t="str">
        <f ca="1">_xlfn.XLOOKUP(OrderT[[#This Row],[Bill Item ID]], BillsT[Bill Item ID], BillsT[Item Name], "")</f>
        <v/>
      </c>
      <c r="P168" s="17"/>
      <c r="Q168" s="17"/>
    </row>
    <row r="169" spans="3:17" ht="15" customHeight="1">
      <c r="C169" t="str">
        <f ca="1">_xlfn.XLOOKUP(OrderT[[#This Row],[Bill Item ID]], BillsT[Bill Item ID], BillsT[Bill No.], "")</f>
        <v/>
      </c>
      <c r="D169" s="49" t="str">
        <f ca="1">_xlfn.XLOOKUP(OrderT[[#This Row],[Bill Item ID]], BillsT[Bill Item ID], BillsT[Item Name], "")</f>
        <v/>
      </c>
      <c r="P169" s="17"/>
      <c r="Q169" s="17"/>
    </row>
    <row r="170" spans="3:17" ht="15" customHeight="1">
      <c r="C170" t="str">
        <f ca="1">_xlfn.XLOOKUP(OrderT[[#This Row],[Bill Item ID]], BillsT[Bill Item ID], BillsT[Bill No.], "")</f>
        <v/>
      </c>
      <c r="D170" s="49" t="str">
        <f ca="1">_xlfn.XLOOKUP(OrderT[[#This Row],[Bill Item ID]], BillsT[Bill Item ID], BillsT[Item Name], "")</f>
        <v/>
      </c>
      <c r="P170" s="17"/>
      <c r="Q170" s="17"/>
    </row>
    <row r="171" spans="3:17" ht="15" customHeight="1">
      <c r="C171" t="str">
        <f ca="1">_xlfn.XLOOKUP(OrderT[[#This Row],[Bill Item ID]], BillsT[Bill Item ID], BillsT[Bill No.], "")</f>
        <v/>
      </c>
      <c r="D171" s="49" t="str">
        <f ca="1">_xlfn.XLOOKUP(OrderT[[#This Row],[Bill Item ID]], BillsT[Bill Item ID], BillsT[Item Name], "")</f>
        <v/>
      </c>
      <c r="P171" s="17"/>
      <c r="Q171" s="17"/>
    </row>
    <row r="172" spans="3:17" ht="15" customHeight="1">
      <c r="C172" t="str">
        <f ca="1">_xlfn.XLOOKUP(OrderT[[#This Row],[Bill Item ID]], BillsT[Bill Item ID], BillsT[Bill No.], "")</f>
        <v/>
      </c>
      <c r="D172" s="49" t="str">
        <f ca="1">_xlfn.XLOOKUP(OrderT[[#This Row],[Bill Item ID]], BillsT[Bill Item ID], BillsT[Item Name], "")</f>
        <v/>
      </c>
      <c r="P172" s="17"/>
      <c r="Q172" s="17"/>
    </row>
    <row r="173" spans="3:17" ht="15" customHeight="1">
      <c r="C173" t="str">
        <f ca="1">_xlfn.XLOOKUP(OrderT[[#This Row],[Bill Item ID]], BillsT[Bill Item ID], BillsT[Bill No.], "")</f>
        <v/>
      </c>
      <c r="D173" s="49" t="str">
        <f ca="1">_xlfn.XLOOKUP(OrderT[[#This Row],[Bill Item ID]], BillsT[Bill Item ID], BillsT[Item Name], "")</f>
        <v/>
      </c>
      <c r="P173" s="17"/>
      <c r="Q173" s="17"/>
    </row>
    <row r="174" spans="3:17" ht="15" customHeight="1">
      <c r="C174" t="str">
        <f ca="1">_xlfn.XLOOKUP(OrderT[[#This Row],[Bill Item ID]], BillsT[Bill Item ID], BillsT[Bill No.], "")</f>
        <v/>
      </c>
      <c r="D174" s="49" t="str">
        <f ca="1">_xlfn.XLOOKUP(OrderT[[#This Row],[Bill Item ID]], BillsT[Bill Item ID], BillsT[Item Name], "")</f>
        <v/>
      </c>
      <c r="P174" s="17"/>
      <c r="Q174" s="17"/>
    </row>
    <row r="175" spans="3:17" ht="15" customHeight="1">
      <c r="C175" t="str">
        <f ca="1">_xlfn.XLOOKUP(OrderT[[#This Row],[Bill Item ID]], BillsT[Bill Item ID], BillsT[Bill No.], "")</f>
        <v/>
      </c>
      <c r="D175" s="49" t="str">
        <f ca="1">_xlfn.XLOOKUP(OrderT[[#This Row],[Bill Item ID]], BillsT[Bill Item ID], BillsT[Item Name], "")</f>
        <v/>
      </c>
      <c r="P175" s="17"/>
      <c r="Q175" s="17"/>
    </row>
    <row r="176" spans="3:17" ht="15" customHeight="1">
      <c r="C176" t="str">
        <f ca="1">_xlfn.XLOOKUP(OrderT[[#This Row],[Bill Item ID]], BillsT[Bill Item ID], BillsT[Bill No.], "")</f>
        <v/>
      </c>
      <c r="D176" s="49" t="str">
        <f ca="1">_xlfn.XLOOKUP(OrderT[[#This Row],[Bill Item ID]], BillsT[Bill Item ID], BillsT[Item Name], "")</f>
        <v/>
      </c>
      <c r="P176" s="17"/>
      <c r="Q176" s="17"/>
    </row>
    <row r="177" spans="1:17" ht="15" customHeight="1">
      <c r="C177" t="str">
        <f ca="1">_xlfn.XLOOKUP(OrderT[[#This Row],[Bill Item ID]], BillsT[Bill Item ID], BillsT[Bill No.], "")</f>
        <v/>
      </c>
      <c r="D177" s="49" t="str">
        <f ca="1">_xlfn.XLOOKUP(OrderT[[#This Row],[Bill Item ID]], BillsT[Bill Item ID], BillsT[Item Name], "")</f>
        <v/>
      </c>
      <c r="P177" s="17"/>
      <c r="Q177" s="17"/>
    </row>
    <row r="178" spans="1:17" ht="15" customHeight="1">
      <c r="C178" t="str">
        <f ca="1">_xlfn.XLOOKUP(OrderT[[#This Row],[Bill Item ID]], BillsT[Bill Item ID], BillsT[Bill No.], "")</f>
        <v/>
      </c>
      <c r="D178" s="49" t="str">
        <f ca="1">_xlfn.XLOOKUP(OrderT[[#This Row],[Bill Item ID]], BillsT[Bill Item ID], BillsT[Item Name], "")</f>
        <v/>
      </c>
      <c r="P178" s="17"/>
      <c r="Q178" s="17"/>
    </row>
    <row r="179" spans="1:17" ht="15" customHeight="1">
      <c r="C179" t="str">
        <f ca="1">_xlfn.XLOOKUP(OrderT[[#This Row],[Bill Item ID]], BillsT[Bill Item ID], BillsT[Bill No.], "")</f>
        <v/>
      </c>
      <c r="D179" s="49" t="str">
        <f ca="1">_xlfn.XLOOKUP(OrderT[[#This Row],[Bill Item ID]], BillsT[Bill Item ID], BillsT[Item Name], "")</f>
        <v/>
      </c>
      <c r="P179" s="17"/>
      <c r="Q179" s="17"/>
    </row>
    <row r="180" spans="1:17" ht="15" customHeight="1">
      <c r="C180" t="str">
        <f ca="1">_xlfn.XLOOKUP(OrderT[[#This Row],[Bill Item ID]], BillsT[Bill Item ID], BillsT[Bill No.], "")</f>
        <v/>
      </c>
      <c r="D180" s="49" t="str">
        <f ca="1">_xlfn.XLOOKUP(OrderT[[#This Row],[Bill Item ID]], BillsT[Bill Item ID], BillsT[Item Name], "")</f>
        <v/>
      </c>
      <c r="P180" s="17"/>
      <c r="Q180" s="17"/>
    </row>
    <row r="181" spans="1:17" ht="15" customHeight="1">
      <c r="C181" t="str">
        <f ca="1">_xlfn.XLOOKUP(OrderT[[#This Row],[Bill Item ID]], BillsT[Bill Item ID], BillsT[Bill No.], "")</f>
        <v/>
      </c>
      <c r="D181" s="49" t="str">
        <f ca="1">_xlfn.XLOOKUP(OrderT[[#This Row],[Bill Item ID]], BillsT[Bill Item ID], BillsT[Item Name], "")</f>
        <v/>
      </c>
      <c r="P181" s="17"/>
      <c r="Q181" s="17"/>
    </row>
    <row r="182" spans="1:17" ht="15" customHeight="1">
      <c r="C182" t="str">
        <f ca="1">_xlfn.XLOOKUP(OrderT[[#This Row],[Bill Item ID]], BillsT[Bill Item ID], BillsT[Bill No.], "")</f>
        <v/>
      </c>
      <c r="D182" s="49" t="str">
        <f ca="1">_xlfn.XLOOKUP(OrderT[[#This Row],[Bill Item ID]], BillsT[Bill Item ID], BillsT[Item Name], "")</f>
        <v/>
      </c>
      <c r="P182" s="17"/>
      <c r="Q182" s="17"/>
    </row>
    <row r="183" spans="1:17" ht="15" customHeight="1">
      <c r="C183" t="str">
        <f ca="1">_xlfn.XLOOKUP(OrderT[[#This Row],[Bill Item ID]], BillsT[Bill Item ID], BillsT[Bill No.], "")</f>
        <v/>
      </c>
      <c r="D183" s="49" t="str">
        <f ca="1">_xlfn.XLOOKUP(OrderT[[#This Row],[Bill Item ID]], BillsT[Bill Item ID], BillsT[Item Name], "")</f>
        <v/>
      </c>
      <c r="P183" s="17"/>
      <c r="Q183" s="17"/>
    </row>
    <row r="184" spans="1:17" ht="15" customHeight="1">
      <c r="C184" t="str">
        <f ca="1">_xlfn.XLOOKUP(OrderT[[#This Row],[Bill Item ID]], BillsT[Bill Item ID], BillsT[Bill No.], "")</f>
        <v/>
      </c>
      <c r="D184" s="49" t="str">
        <f ca="1">_xlfn.XLOOKUP(OrderT[[#This Row],[Bill Item ID]], BillsT[Bill Item ID], BillsT[Item Name], "")</f>
        <v/>
      </c>
      <c r="P184" s="17"/>
      <c r="Q184" s="17"/>
    </row>
    <row r="185" spans="1:17" ht="15" customHeight="1">
      <c r="A185" s="22"/>
      <c r="B185" s="22"/>
      <c r="C185" s="22" t="str">
        <f ca="1">_xlfn.XLOOKUP(OrderT[[#This Row],[Bill Item ID]], BillsT[Bill Item ID], BillsT[Bill No.], "")</f>
        <v/>
      </c>
      <c r="D185" s="49" t="str">
        <f ca="1">_xlfn.XLOOKUP(OrderT[[#This Row],[Bill Item ID]], BillsT[Bill Item ID], BillsT[Item Name], "")</f>
        <v/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4"/>
      <c r="Q185" s="24"/>
    </row>
    <row r="186" spans="1:17" ht="15" customHeight="1">
      <c r="C186" t="str">
        <f ca="1">_xlfn.XLOOKUP(OrderT[[#This Row],[Bill Item ID]], BillsT[Bill Item ID], BillsT[Bill No.], "")</f>
        <v/>
      </c>
      <c r="D186" s="49" t="str">
        <f ca="1">_xlfn.XLOOKUP(OrderT[[#This Row],[Bill Item ID]], BillsT[Bill Item ID], BillsT[Item Name], "")</f>
        <v/>
      </c>
      <c r="P186" s="17"/>
      <c r="Q186" s="17"/>
    </row>
    <row r="187" spans="1:17" ht="15" customHeight="1">
      <c r="C187" t="str">
        <f ca="1">_xlfn.XLOOKUP(OrderT[[#This Row],[Bill Item ID]], BillsT[Bill Item ID], BillsT[Bill No.], "")</f>
        <v/>
      </c>
      <c r="D187" s="49" t="str">
        <f ca="1">_xlfn.XLOOKUP(OrderT[[#This Row],[Bill Item ID]], BillsT[Bill Item ID], BillsT[Item Name], "")</f>
        <v/>
      </c>
      <c r="P187" s="17"/>
      <c r="Q187" s="17"/>
    </row>
    <row r="188" spans="1:17" ht="15" customHeight="1">
      <c r="C188" t="str">
        <f ca="1">_xlfn.XLOOKUP(OrderT[[#This Row],[Bill Item ID]], BillsT[Bill Item ID], BillsT[Bill No.], "")</f>
        <v/>
      </c>
      <c r="D188" s="49" t="str">
        <f ca="1">_xlfn.XLOOKUP(OrderT[[#This Row],[Bill Item ID]], BillsT[Bill Item ID], BillsT[Item Name], "")</f>
        <v/>
      </c>
      <c r="P188" s="17"/>
      <c r="Q188" s="17"/>
    </row>
    <row r="189" spans="1:17" ht="15" customHeight="1">
      <c r="C189" t="str">
        <f ca="1">_xlfn.XLOOKUP(OrderT[[#This Row],[Bill Item ID]], BillsT[Bill Item ID], BillsT[Bill No.], "")</f>
        <v/>
      </c>
      <c r="D189" s="49" t="str">
        <f ca="1">_xlfn.XLOOKUP(OrderT[[#This Row],[Bill Item ID]], BillsT[Bill Item ID], BillsT[Item Name], "")</f>
        <v/>
      </c>
      <c r="P189" s="17"/>
      <c r="Q189" s="17"/>
    </row>
    <row r="190" spans="1:17" ht="15" customHeight="1">
      <c r="C190" t="str">
        <f ca="1">_xlfn.XLOOKUP(OrderT[[#This Row],[Bill Item ID]], BillsT[Bill Item ID], BillsT[Bill No.], "")</f>
        <v/>
      </c>
      <c r="D190" s="49" t="str">
        <f ca="1">_xlfn.XLOOKUP(OrderT[[#This Row],[Bill Item ID]], BillsT[Bill Item ID], BillsT[Item Name], "")</f>
        <v/>
      </c>
      <c r="P190" s="17"/>
      <c r="Q190" s="17"/>
    </row>
    <row r="191" spans="1:17" ht="15" customHeight="1">
      <c r="C191" t="str">
        <f ca="1">_xlfn.XLOOKUP(OrderT[[#This Row],[Bill Item ID]], BillsT[Bill Item ID], BillsT[Bill No.], "")</f>
        <v/>
      </c>
      <c r="D191" s="49" t="str">
        <f ca="1">_xlfn.XLOOKUP(OrderT[[#This Row],[Bill Item ID]], BillsT[Bill Item ID], BillsT[Item Name], "")</f>
        <v/>
      </c>
      <c r="P191" s="17"/>
      <c r="Q191" s="17"/>
    </row>
    <row r="192" spans="1:17" ht="15" customHeight="1">
      <c r="C192" t="str">
        <f ca="1">_xlfn.XLOOKUP(OrderT[[#This Row],[Bill Item ID]], BillsT[Bill Item ID], BillsT[Bill No.], "")</f>
        <v/>
      </c>
      <c r="D192" s="49" t="str">
        <f ca="1">_xlfn.XLOOKUP(OrderT[[#This Row],[Bill Item ID]], BillsT[Bill Item ID], BillsT[Item Name], "")</f>
        <v/>
      </c>
      <c r="P192" s="17"/>
      <c r="Q192" s="17"/>
    </row>
    <row r="193" spans="1:17" ht="15" customHeight="1">
      <c r="C193" t="str">
        <f ca="1">_xlfn.XLOOKUP(OrderT[[#This Row],[Bill Item ID]], BillsT[Bill Item ID], BillsT[Bill No.], "")</f>
        <v/>
      </c>
      <c r="D193" s="49" t="str">
        <f ca="1">_xlfn.XLOOKUP(OrderT[[#This Row],[Bill Item ID]], BillsT[Bill Item ID], BillsT[Item Name], "")</f>
        <v/>
      </c>
      <c r="P193" s="17"/>
      <c r="Q193" s="17"/>
    </row>
    <row r="194" spans="1:17" ht="15" customHeight="1">
      <c r="C194" t="str">
        <f ca="1">_xlfn.XLOOKUP(OrderT[[#This Row],[Bill Item ID]], BillsT[Bill Item ID], BillsT[Bill No.], "")</f>
        <v/>
      </c>
      <c r="D194" s="49" t="str">
        <f ca="1">_xlfn.XLOOKUP(OrderT[[#This Row],[Bill Item ID]], BillsT[Bill Item ID], BillsT[Item Name], "")</f>
        <v/>
      </c>
      <c r="P194" s="17"/>
      <c r="Q194" s="17"/>
    </row>
    <row r="195" spans="1:17" ht="15" customHeight="1">
      <c r="C195" t="str">
        <f ca="1">_xlfn.XLOOKUP(OrderT[[#This Row],[Bill Item ID]], BillsT[Bill Item ID], BillsT[Bill No.], "")</f>
        <v/>
      </c>
      <c r="D195" s="49" t="str">
        <f ca="1">_xlfn.XLOOKUP(OrderT[[#This Row],[Bill Item ID]], BillsT[Bill Item ID], BillsT[Item Name], "")</f>
        <v/>
      </c>
      <c r="P195" s="17"/>
      <c r="Q195" s="17"/>
    </row>
    <row r="196" spans="1:17" ht="15" customHeight="1">
      <c r="C196" t="str">
        <f ca="1">_xlfn.XLOOKUP(OrderT[[#This Row],[Bill Item ID]], BillsT[Bill Item ID], BillsT[Bill No.], "")</f>
        <v/>
      </c>
      <c r="D196" s="49" t="str">
        <f ca="1">_xlfn.XLOOKUP(OrderT[[#This Row],[Bill Item ID]], BillsT[Bill Item ID], BillsT[Item Name], "")</f>
        <v/>
      </c>
      <c r="P196" s="17"/>
      <c r="Q196" s="17"/>
    </row>
    <row r="197" spans="1:17" ht="15" customHeight="1">
      <c r="A197" s="22"/>
      <c r="B197" s="22"/>
      <c r="C197" s="22" t="str">
        <f ca="1">_xlfn.XLOOKUP(OrderT[[#This Row],[Bill Item ID]], BillsT[Bill Item ID], BillsT[Bill No.], "")</f>
        <v/>
      </c>
      <c r="D197" s="49" t="str">
        <f ca="1">_xlfn.XLOOKUP(OrderT[[#This Row],[Bill Item ID]], BillsT[Bill Item ID], BillsT[Item Name], "")</f>
        <v/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4"/>
      <c r="Q197" s="24"/>
    </row>
    <row r="198" spans="1:17" ht="15" customHeight="1">
      <c r="C198" t="str">
        <f ca="1">_xlfn.XLOOKUP(OrderT[[#This Row],[Bill Item ID]], BillsT[Bill Item ID], BillsT[Bill No.], "")</f>
        <v/>
      </c>
      <c r="D198" s="49" t="str">
        <f ca="1">_xlfn.XLOOKUP(OrderT[[#This Row],[Bill Item ID]], BillsT[Bill Item ID], BillsT[Item Name], "")</f>
        <v/>
      </c>
      <c r="P198" s="17"/>
      <c r="Q198" s="17"/>
    </row>
    <row r="199" spans="1:17" ht="15" customHeight="1">
      <c r="C199" t="str">
        <f ca="1">_xlfn.XLOOKUP(OrderT[[#This Row],[Bill Item ID]], BillsT[Bill Item ID], BillsT[Bill No.], "")</f>
        <v/>
      </c>
      <c r="D199" s="49" t="str">
        <f ca="1">_xlfn.XLOOKUP(OrderT[[#This Row],[Bill Item ID]], BillsT[Bill Item ID], BillsT[Item Name], "")</f>
        <v/>
      </c>
      <c r="P199" s="17"/>
      <c r="Q199" s="17"/>
    </row>
    <row r="200" spans="1:17" ht="15" customHeight="1">
      <c r="C200" t="str">
        <f ca="1">_xlfn.XLOOKUP(OrderT[[#This Row],[Bill Item ID]], BillsT[Bill Item ID], BillsT[Bill No.], "")</f>
        <v/>
      </c>
      <c r="D200" s="49" t="str">
        <f ca="1">_xlfn.XLOOKUP(OrderT[[#This Row],[Bill Item ID]], BillsT[Bill Item ID], BillsT[Item Name], "")</f>
        <v/>
      </c>
      <c r="P200" s="17"/>
      <c r="Q200" s="17"/>
    </row>
    <row r="201" spans="1:17" ht="15" customHeight="1">
      <c r="C201" t="str">
        <f ca="1">_xlfn.XLOOKUP(OrderT[[#This Row],[Bill Item ID]], BillsT[Bill Item ID], BillsT[Bill No.], "")</f>
        <v/>
      </c>
      <c r="D201" s="49" t="str">
        <f ca="1">_xlfn.XLOOKUP(OrderT[[#This Row],[Bill Item ID]], BillsT[Bill Item ID], BillsT[Item Name], "")</f>
        <v/>
      </c>
      <c r="P201" s="17"/>
      <c r="Q201" s="17"/>
    </row>
    <row r="202" spans="1:17" ht="15" customHeight="1">
      <c r="C202" t="str">
        <f ca="1">_xlfn.XLOOKUP(OrderT[[#This Row],[Bill Item ID]], BillsT[Bill Item ID], BillsT[Bill No.], "")</f>
        <v/>
      </c>
      <c r="D202" s="49" t="str">
        <f ca="1">_xlfn.XLOOKUP(OrderT[[#This Row],[Bill Item ID]], BillsT[Bill Item ID], BillsT[Item Name], "")</f>
        <v/>
      </c>
      <c r="P202" s="17"/>
      <c r="Q202" s="17"/>
    </row>
    <row r="203" spans="1:17" ht="15" customHeight="1">
      <c r="A203" s="22"/>
      <c r="B203" s="22"/>
      <c r="C203" s="22" t="str">
        <f ca="1">_xlfn.XLOOKUP(OrderT[[#This Row],[Bill Item ID]], BillsT[Bill Item ID], BillsT[Bill No.], "")</f>
        <v/>
      </c>
      <c r="D203" s="49" t="str">
        <f ca="1">_xlfn.XLOOKUP(OrderT[[#This Row],[Bill Item ID]], BillsT[Bill Item ID], BillsT[Item Name], "")</f>
        <v/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4"/>
      <c r="Q203" s="24"/>
    </row>
    <row r="204" spans="1:17" ht="15" customHeight="1">
      <c r="B204" s="1"/>
      <c r="C204" t="str">
        <f ca="1">_xlfn.XLOOKUP(OrderT[[#This Row],[Bill Item ID]], BillsT[Bill Item ID], BillsT[Bill No.], "")</f>
        <v/>
      </c>
      <c r="D204" s="49" t="str">
        <f ca="1">_xlfn.XLOOKUP(OrderT[[#This Row],[Bill Item ID]], BillsT[Bill Item ID], BillsT[Item Name], "")</f>
        <v/>
      </c>
      <c r="P204" s="17"/>
      <c r="Q204" s="17"/>
    </row>
    <row r="205" spans="1:17" ht="15" customHeight="1">
      <c r="A205" s="22"/>
      <c r="B205" s="22"/>
      <c r="C205" s="22" t="str">
        <f ca="1">_xlfn.XLOOKUP(OrderT[[#This Row],[Bill Item ID]], BillsT[Bill Item ID], BillsT[Bill No.], "")</f>
        <v/>
      </c>
      <c r="D205" s="49" t="str">
        <f ca="1">_xlfn.XLOOKUP(OrderT[[#This Row],[Bill Item ID]], BillsT[Bill Item ID], BillsT[Item Name], "")</f>
        <v/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4"/>
      <c r="Q205" s="24"/>
    </row>
    <row r="206" spans="1:17" ht="15" customHeight="1">
      <c r="C206" t="str">
        <f ca="1">_xlfn.XLOOKUP(OrderT[[#This Row],[Bill Item ID]], BillsT[Bill Item ID], BillsT[Bill No.], "")</f>
        <v/>
      </c>
      <c r="D206" s="49" t="str">
        <f ca="1">_xlfn.XLOOKUP(OrderT[[#This Row],[Bill Item ID]], BillsT[Bill Item ID], BillsT[Item Name], "")</f>
        <v/>
      </c>
      <c r="P206" s="17"/>
      <c r="Q206" s="17"/>
    </row>
    <row r="207" spans="1:17" ht="15" customHeight="1">
      <c r="C207" t="str">
        <f ca="1">_xlfn.XLOOKUP(OrderT[[#This Row],[Bill Item ID]], BillsT[Bill Item ID], BillsT[Bill No.], "")</f>
        <v/>
      </c>
      <c r="D207" s="49" t="str">
        <f ca="1">_xlfn.XLOOKUP(OrderT[[#This Row],[Bill Item ID]], BillsT[Bill Item ID], BillsT[Item Name], "")</f>
        <v/>
      </c>
      <c r="P207" s="17"/>
      <c r="Q207" s="17"/>
    </row>
    <row r="208" spans="1:17" ht="15" customHeight="1">
      <c r="C208" t="str">
        <f ca="1">_xlfn.XLOOKUP(OrderT[[#This Row],[Bill Item ID]], BillsT[Bill Item ID], BillsT[Bill No.], "")</f>
        <v/>
      </c>
      <c r="D208" s="49" t="str">
        <f ca="1">_xlfn.XLOOKUP(OrderT[[#This Row],[Bill Item ID]], BillsT[Bill Item ID], BillsT[Item Name], "")</f>
        <v/>
      </c>
      <c r="P208" s="17"/>
      <c r="Q208" s="17"/>
    </row>
    <row r="209" spans="3:17" ht="15" customHeight="1">
      <c r="C209" t="str">
        <f ca="1">_xlfn.XLOOKUP(OrderT[[#This Row],[Bill Item ID]], BillsT[Bill Item ID], BillsT[Bill No.], "")</f>
        <v/>
      </c>
      <c r="D209" s="49" t="str">
        <f ca="1">_xlfn.XLOOKUP(OrderT[[#This Row],[Bill Item ID]], BillsT[Bill Item ID], BillsT[Item Name], "")</f>
        <v/>
      </c>
      <c r="P209" s="17"/>
      <c r="Q209" s="17"/>
    </row>
    <row r="210" spans="3:17" ht="15" customHeight="1">
      <c r="C210" t="str">
        <f ca="1">_xlfn.XLOOKUP(OrderT[[#This Row],[Bill Item ID]], BillsT[Bill Item ID], BillsT[Bill No.], "")</f>
        <v/>
      </c>
      <c r="D210" s="49" t="str">
        <f ca="1">_xlfn.XLOOKUP(OrderT[[#This Row],[Bill Item ID]], BillsT[Bill Item ID], BillsT[Item Name], "")</f>
        <v/>
      </c>
      <c r="P210" s="17"/>
      <c r="Q210" s="17"/>
    </row>
    <row r="211" spans="3:17" ht="15" customHeight="1">
      <c r="C211" t="str">
        <f ca="1">_xlfn.XLOOKUP(OrderT[[#This Row],[Bill Item ID]], BillsT[Bill Item ID], BillsT[Bill No.], "")</f>
        <v/>
      </c>
      <c r="D211" s="49" t="str">
        <f ca="1">_xlfn.XLOOKUP(OrderT[[#This Row],[Bill Item ID]], BillsT[Bill Item ID], BillsT[Item Name], "")</f>
        <v/>
      </c>
      <c r="P211" s="17"/>
      <c r="Q211" s="17"/>
    </row>
    <row r="212" spans="3:17" ht="15" customHeight="1">
      <c r="C212" t="str">
        <f ca="1">_xlfn.XLOOKUP(OrderT[[#This Row],[Bill Item ID]], BillsT[Bill Item ID], BillsT[Bill No.], "")</f>
        <v/>
      </c>
      <c r="D212" s="49" t="str">
        <f ca="1">_xlfn.XLOOKUP(OrderT[[#This Row],[Bill Item ID]], BillsT[Bill Item ID], BillsT[Item Name], "")</f>
        <v/>
      </c>
      <c r="P212" s="17"/>
      <c r="Q212" s="17"/>
    </row>
    <row r="213" spans="3:17" ht="15" customHeight="1">
      <c r="C213" t="str">
        <f ca="1">_xlfn.XLOOKUP(OrderT[[#This Row],[Bill Item ID]], BillsT[Bill Item ID], BillsT[Bill No.], "")</f>
        <v/>
      </c>
      <c r="D213" s="49" t="str">
        <f ca="1">_xlfn.XLOOKUP(OrderT[[#This Row],[Bill Item ID]], BillsT[Bill Item ID], BillsT[Item Name], "")</f>
        <v/>
      </c>
      <c r="P213" s="17"/>
      <c r="Q213" s="17"/>
    </row>
    <row r="214" spans="3:17" ht="15" customHeight="1">
      <c r="C214" t="str">
        <f ca="1">_xlfn.XLOOKUP(OrderT[[#This Row],[Bill Item ID]], BillsT[Bill Item ID], BillsT[Bill No.], "")</f>
        <v/>
      </c>
      <c r="D214" s="49" t="str">
        <f ca="1">_xlfn.XLOOKUP(OrderT[[#This Row],[Bill Item ID]], BillsT[Bill Item ID], BillsT[Item Name], "")</f>
        <v/>
      </c>
      <c r="P214" s="17"/>
      <c r="Q214" s="17"/>
    </row>
    <row r="215" spans="3:17" ht="15" customHeight="1">
      <c r="C215" t="str">
        <f ca="1">_xlfn.XLOOKUP(OrderT[[#This Row],[Bill Item ID]], BillsT[Bill Item ID], BillsT[Bill No.], "")</f>
        <v/>
      </c>
      <c r="D215" s="49" t="str">
        <f ca="1">_xlfn.XLOOKUP(OrderT[[#This Row],[Bill Item ID]], BillsT[Bill Item ID], BillsT[Item Name], "")</f>
        <v/>
      </c>
      <c r="P215" s="17"/>
      <c r="Q215" s="17"/>
    </row>
    <row r="216" spans="3:17" ht="15" customHeight="1">
      <c r="C216" t="str">
        <f ca="1">_xlfn.XLOOKUP(OrderT[[#This Row],[Bill Item ID]], BillsT[Bill Item ID], BillsT[Bill No.], "")</f>
        <v/>
      </c>
      <c r="D216" s="49" t="str">
        <f ca="1">_xlfn.XLOOKUP(OrderT[[#This Row],[Bill Item ID]], BillsT[Bill Item ID], BillsT[Item Name], "")</f>
        <v/>
      </c>
      <c r="P216" s="17"/>
      <c r="Q216" s="17"/>
    </row>
    <row r="217" spans="3:17" ht="15" customHeight="1">
      <c r="C217" t="str">
        <f ca="1">_xlfn.XLOOKUP(OrderT[[#This Row],[Bill Item ID]], BillsT[Bill Item ID], BillsT[Bill No.], "")</f>
        <v/>
      </c>
      <c r="D217" s="49" t="str">
        <f ca="1">_xlfn.XLOOKUP(OrderT[[#This Row],[Bill Item ID]], BillsT[Bill Item ID], BillsT[Item Name], "")</f>
        <v/>
      </c>
      <c r="P217" s="17"/>
      <c r="Q217" s="17"/>
    </row>
    <row r="218" spans="3:17" ht="15" customHeight="1">
      <c r="C218" t="str">
        <f ca="1">_xlfn.XLOOKUP(OrderT[[#This Row],[Bill Item ID]], BillsT[Bill Item ID], BillsT[Bill No.], "")</f>
        <v/>
      </c>
      <c r="D218" s="49" t="str">
        <f ca="1">_xlfn.XLOOKUP(OrderT[[#This Row],[Bill Item ID]], BillsT[Bill Item ID], BillsT[Item Name], "")</f>
        <v/>
      </c>
      <c r="P218" s="17"/>
      <c r="Q218" s="17"/>
    </row>
    <row r="219" spans="3:17" ht="15" customHeight="1">
      <c r="C219" t="str">
        <f ca="1">_xlfn.XLOOKUP(OrderT[[#This Row],[Bill Item ID]], BillsT[Bill Item ID], BillsT[Bill No.], "")</f>
        <v/>
      </c>
      <c r="D219" s="49" t="str">
        <f ca="1">_xlfn.XLOOKUP(OrderT[[#This Row],[Bill Item ID]], BillsT[Bill Item ID], BillsT[Item Name], "")</f>
        <v/>
      </c>
      <c r="P219" s="17"/>
      <c r="Q219" s="17"/>
    </row>
    <row r="220" spans="3:17" ht="15" customHeight="1">
      <c r="C220" t="str">
        <f ca="1">_xlfn.XLOOKUP(OrderT[[#This Row],[Bill Item ID]], BillsT[Bill Item ID], BillsT[Bill No.], "")</f>
        <v/>
      </c>
      <c r="D220" s="49" t="str">
        <f ca="1">_xlfn.XLOOKUP(OrderT[[#This Row],[Bill Item ID]], BillsT[Bill Item ID], BillsT[Item Name], "")</f>
        <v/>
      </c>
      <c r="P220" s="17"/>
      <c r="Q220" s="17"/>
    </row>
    <row r="221" spans="3:17" ht="15" customHeight="1">
      <c r="C221" t="str">
        <f ca="1">_xlfn.XLOOKUP(OrderT[[#This Row],[Bill Item ID]], BillsT[Bill Item ID], BillsT[Bill No.], "")</f>
        <v/>
      </c>
      <c r="D221" s="49" t="str">
        <f ca="1">_xlfn.XLOOKUP(OrderT[[#This Row],[Bill Item ID]], BillsT[Bill Item ID], BillsT[Item Name], "")</f>
        <v/>
      </c>
      <c r="P221" s="17"/>
      <c r="Q221" s="17"/>
    </row>
    <row r="222" spans="3:17" ht="15" customHeight="1">
      <c r="C222" t="str">
        <f ca="1">_xlfn.XLOOKUP(OrderT[[#This Row],[Bill Item ID]], BillsT[Bill Item ID], BillsT[Bill No.], "")</f>
        <v/>
      </c>
      <c r="D222" s="49" t="str">
        <f ca="1">_xlfn.XLOOKUP(OrderT[[#This Row],[Bill Item ID]], BillsT[Bill Item ID], BillsT[Item Name], "")</f>
        <v/>
      </c>
      <c r="P222" s="17"/>
      <c r="Q222" s="17"/>
    </row>
    <row r="223" spans="3:17" ht="15" customHeight="1">
      <c r="C223" t="str">
        <f ca="1">_xlfn.XLOOKUP(OrderT[[#This Row],[Bill Item ID]], BillsT[Bill Item ID], BillsT[Bill No.], "")</f>
        <v/>
      </c>
      <c r="D223" s="49" t="str">
        <f ca="1">_xlfn.XLOOKUP(OrderT[[#This Row],[Bill Item ID]], BillsT[Bill Item ID], BillsT[Item Name], "")</f>
        <v/>
      </c>
      <c r="P223" s="17"/>
      <c r="Q223" s="17"/>
    </row>
    <row r="224" spans="3:17" ht="15" customHeight="1">
      <c r="C224" t="str">
        <f ca="1">_xlfn.XLOOKUP(OrderT[[#This Row],[Bill Item ID]], BillsT[Bill Item ID], BillsT[Bill No.], "")</f>
        <v/>
      </c>
      <c r="D224" s="49" t="str">
        <f ca="1">_xlfn.XLOOKUP(OrderT[[#This Row],[Bill Item ID]], BillsT[Bill Item ID], BillsT[Item Name], "")</f>
        <v/>
      </c>
      <c r="P224" s="17"/>
      <c r="Q224" s="17"/>
    </row>
    <row r="225" spans="3:17" ht="15" customHeight="1">
      <c r="C225" t="str">
        <f ca="1">_xlfn.XLOOKUP(OrderT[[#This Row],[Bill Item ID]], BillsT[Bill Item ID], BillsT[Bill No.], "")</f>
        <v/>
      </c>
      <c r="D225" s="49" t="str">
        <f ca="1">_xlfn.XLOOKUP(OrderT[[#This Row],[Bill Item ID]], BillsT[Bill Item ID], BillsT[Item Name], "")</f>
        <v/>
      </c>
      <c r="P225" s="17"/>
      <c r="Q225" s="17"/>
    </row>
    <row r="226" spans="3:17" ht="15" customHeight="1">
      <c r="C226" t="str">
        <f ca="1">_xlfn.XLOOKUP(OrderT[[#This Row],[Bill Item ID]], BillsT[Bill Item ID], BillsT[Bill No.], "")</f>
        <v/>
      </c>
      <c r="D226" s="49" t="str">
        <f ca="1">_xlfn.XLOOKUP(OrderT[[#This Row],[Bill Item ID]], BillsT[Bill Item ID], BillsT[Item Name], "")</f>
        <v/>
      </c>
      <c r="P226" s="17"/>
      <c r="Q226" s="17"/>
    </row>
    <row r="227" spans="3:17" ht="15" customHeight="1">
      <c r="C227" t="str">
        <f ca="1">_xlfn.XLOOKUP(OrderT[[#This Row],[Bill Item ID]], BillsT[Bill Item ID], BillsT[Bill No.], "")</f>
        <v/>
      </c>
      <c r="D227" s="49" t="str">
        <f ca="1">_xlfn.XLOOKUP(OrderT[[#This Row],[Bill Item ID]], BillsT[Bill Item ID], BillsT[Item Name], "")</f>
        <v/>
      </c>
      <c r="P227" s="17"/>
      <c r="Q227" s="17"/>
    </row>
    <row r="228" spans="3:17" ht="15" customHeight="1">
      <c r="C228" t="str">
        <f ca="1">_xlfn.XLOOKUP(OrderT[[#This Row],[Bill Item ID]], BillsT[Bill Item ID], BillsT[Bill No.], "")</f>
        <v/>
      </c>
      <c r="D228" s="49" t="str">
        <f ca="1">_xlfn.XLOOKUP(OrderT[[#This Row],[Bill Item ID]], BillsT[Bill Item ID], BillsT[Item Name], "")</f>
        <v/>
      </c>
      <c r="P228" s="17"/>
      <c r="Q228" s="17"/>
    </row>
    <row r="229" spans="3:17" ht="15" customHeight="1">
      <c r="C229" t="str">
        <f ca="1">_xlfn.XLOOKUP(OrderT[[#This Row],[Bill Item ID]], BillsT[Bill Item ID], BillsT[Bill No.], "")</f>
        <v/>
      </c>
      <c r="D229" s="49" t="str">
        <f ca="1">_xlfn.XLOOKUP(OrderT[[#This Row],[Bill Item ID]], BillsT[Bill Item ID], BillsT[Item Name], "")</f>
        <v/>
      </c>
      <c r="P229" s="17"/>
      <c r="Q229" s="17"/>
    </row>
    <row r="230" spans="3:17" ht="15" customHeight="1">
      <c r="C230" t="str">
        <f ca="1">_xlfn.XLOOKUP(OrderT[[#This Row],[Bill Item ID]], BillsT[Bill Item ID], BillsT[Bill No.], "")</f>
        <v/>
      </c>
      <c r="D230" s="49" t="str">
        <f ca="1">_xlfn.XLOOKUP(OrderT[[#This Row],[Bill Item ID]], BillsT[Bill Item ID], BillsT[Item Name], "")</f>
        <v/>
      </c>
      <c r="P230" s="17"/>
      <c r="Q230" s="17"/>
    </row>
    <row r="231" spans="3:17" ht="15" customHeight="1">
      <c r="C231" t="str">
        <f ca="1">_xlfn.XLOOKUP(OrderT[[#This Row],[Bill Item ID]], BillsT[Bill Item ID], BillsT[Bill No.], "")</f>
        <v/>
      </c>
      <c r="D231" s="49" t="str">
        <f ca="1">_xlfn.XLOOKUP(OrderT[[#This Row],[Bill Item ID]], BillsT[Bill Item ID], BillsT[Item Name], "")</f>
        <v/>
      </c>
      <c r="P231" s="17"/>
      <c r="Q231" s="17"/>
    </row>
    <row r="232" spans="3:17" ht="15" customHeight="1">
      <c r="C232" t="str">
        <f ca="1">_xlfn.XLOOKUP(OrderT[[#This Row],[Bill Item ID]], BillsT[Bill Item ID], BillsT[Bill No.], "")</f>
        <v/>
      </c>
      <c r="D232" s="49" t="str">
        <f ca="1">_xlfn.XLOOKUP(OrderT[[#This Row],[Bill Item ID]], BillsT[Bill Item ID], BillsT[Item Name], "")</f>
        <v/>
      </c>
      <c r="P232" s="17"/>
      <c r="Q232" s="17"/>
    </row>
    <row r="233" spans="3:17" ht="15" customHeight="1">
      <c r="C233" t="str">
        <f ca="1">_xlfn.XLOOKUP(OrderT[[#This Row],[Bill Item ID]], BillsT[Bill Item ID], BillsT[Bill No.], "")</f>
        <v/>
      </c>
      <c r="D233" s="49" t="str">
        <f ca="1">_xlfn.XLOOKUP(OrderT[[#This Row],[Bill Item ID]], BillsT[Bill Item ID], BillsT[Item Name], "")</f>
        <v/>
      </c>
      <c r="P233" s="17"/>
      <c r="Q233" s="17"/>
    </row>
    <row r="234" spans="3:17" ht="15" customHeight="1">
      <c r="C234" t="str">
        <f ca="1">_xlfn.XLOOKUP(OrderT[[#This Row],[Bill Item ID]], BillsT[Bill Item ID], BillsT[Bill No.], "")</f>
        <v/>
      </c>
      <c r="D234" s="49" t="str">
        <f ca="1">_xlfn.XLOOKUP(OrderT[[#This Row],[Bill Item ID]], BillsT[Bill Item ID], BillsT[Item Name], "")</f>
        <v/>
      </c>
      <c r="P234" s="17"/>
      <c r="Q234" s="17"/>
    </row>
    <row r="235" spans="3:17" s="22" customFormat="1" ht="15" customHeight="1">
      <c r="C235" s="22" t="str">
        <f ca="1">_xlfn.XLOOKUP(OrderT[[#This Row],[Bill Item ID]], BillsT[Bill Item ID], BillsT[Bill No.], "")</f>
        <v/>
      </c>
      <c r="D235" s="49" t="str">
        <f ca="1">_xlfn.XLOOKUP(OrderT[[#This Row],[Bill Item ID]], BillsT[Bill Item ID], BillsT[Item Name], "")</f>
        <v/>
      </c>
      <c r="P235" s="24"/>
      <c r="Q235" s="24"/>
    </row>
    <row r="236" spans="3:17" ht="15" customHeight="1">
      <c r="C236" t="str">
        <f ca="1">_xlfn.XLOOKUP(OrderT[[#This Row],[Bill Item ID]], BillsT[Bill Item ID], BillsT[Bill No.], "")</f>
        <v/>
      </c>
      <c r="D236" s="49" t="str">
        <f ca="1">_xlfn.XLOOKUP(OrderT[[#This Row],[Bill Item ID]], BillsT[Bill Item ID], BillsT[Item Name], "")</f>
        <v/>
      </c>
      <c r="P236" s="17"/>
      <c r="Q236" s="17"/>
    </row>
    <row r="237" spans="3:17" ht="15" customHeight="1">
      <c r="C237" t="str">
        <f ca="1">_xlfn.XLOOKUP(OrderT[[#This Row],[Bill Item ID]], BillsT[Bill Item ID], BillsT[Bill No.], "")</f>
        <v/>
      </c>
      <c r="D237" s="49" t="str">
        <f ca="1">_xlfn.XLOOKUP(OrderT[[#This Row],[Bill Item ID]], BillsT[Bill Item ID], BillsT[Item Name], "")</f>
        <v/>
      </c>
      <c r="P237" s="17"/>
      <c r="Q237" s="17"/>
    </row>
    <row r="238" spans="3:17" ht="15" customHeight="1">
      <c r="C238" t="str">
        <f ca="1">_xlfn.XLOOKUP(OrderT[[#This Row],[Bill Item ID]], BillsT[Bill Item ID], BillsT[Bill No.], "")</f>
        <v/>
      </c>
      <c r="D238" s="49" t="str">
        <f ca="1">_xlfn.XLOOKUP(OrderT[[#This Row],[Bill Item ID]], BillsT[Bill Item ID], BillsT[Item Name], "")</f>
        <v/>
      </c>
      <c r="P238" s="17"/>
      <c r="Q238" s="17"/>
    </row>
    <row r="239" spans="3:17" ht="15" customHeight="1">
      <c r="C239" t="str">
        <f ca="1">_xlfn.XLOOKUP(OrderT[[#This Row],[Bill Item ID]], BillsT[Bill Item ID], BillsT[Bill No.], "")</f>
        <v/>
      </c>
      <c r="D239" s="49" t="str">
        <f ca="1">_xlfn.XLOOKUP(OrderT[[#This Row],[Bill Item ID]], BillsT[Bill Item ID], BillsT[Item Name], "")</f>
        <v/>
      </c>
      <c r="P239" s="17"/>
      <c r="Q239" s="17"/>
    </row>
    <row r="240" spans="3:17" ht="15" customHeight="1">
      <c r="C240" t="str">
        <f ca="1">_xlfn.XLOOKUP(OrderT[[#This Row],[Bill Item ID]], BillsT[Bill Item ID], BillsT[Bill No.], "")</f>
        <v/>
      </c>
      <c r="D240" s="49" t="str">
        <f ca="1">_xlfn.XLOOKUP(OrderT[[#This Row],[Bill Item ID]], BillsT[Bill Item ID], BillsT[Item Name], "")</f>
        <v/>
      </c>
      <c r="P240" s="17"/>
      <c r="Q240" s="17"/>
    </row>
    <row r="241" spans="1:17" ht="15" customHeight="1">
      <c r="C241" t="str">
        <f ca="1">_xlfn.XLOOKUP(OrderT[[#This Row],[Bill Item ID]], BillsT[Bill Item ID], BillsT[Bill No.], "")</f>
        <v/>
      </c>
      <c r="D241" s="49" t="str">
        <f ca="1">_xlfn.XLOOKUP(OrderT[[#This Row],[Bill Item ID]], BillsT[Bill Item ID], BillsT[Item Name], "")</f>
        <v/>
      </c>
      <c r="P241" s="17"/>
      <c r="Q241" s="17"/>
    </row>
    <row r="242" spans="1:17" ht="15" customHeight="1">
      <c r="C242" t="str">
        <f ca="1">_xlfn.XLOOKUP(OrderT[[#This Row],[Bill Item ID]], BillsT[Bill Item ID], BillsT[Bill No.], "")</f>
        <v/>
      </c>
      <c r="D242" s="49" t="str">
        <f ca="1">_xlfn.XLOOKUP(OrderT[[#This Row],[Bill Item ID]], BillsT[Bill Item ID], BillsT[Item Name], "")</f>
        <v/>
      </c>
      <c r="P242" s="17"/>
      <c r="Q242" s="17"/>
    </row>
    <row r="243" spans="1:17" ht="15" customHeight="1">
      <c r="C243" t="str">
        <f ca="1">_xlfn.XLOOKUP(OrderT[[#This Row],[Bill Item ID]], BillsT[Bill Item ID], BillsT[Bill No.], "")</f>
        <v/>
      </c>
      <c r="D243" s="49" t="str">
        <f ca="1">_xlfn.XLOOKUP(OrderT[[#This Row],[Bill Item ID]], BillsT[Bill Item ID], BillsT[Item Name], "")</f>
        <v/>
      </c>
      <c r="P243" s="17"/>
      <c r="Q243" s="17"/>
    </row>
    <row r="244" spans="1:17" ht="15" customHeight="1">
      <c r="C244" t="str">
        <f ca="1">_xlfn.XLOOKUP(OrderT[[#This Row],[Bill Item ID]], BillsT[Bill Item ID], BillsT[Bill No.], "")</f>
        <v/>
      </c>
      <c r="D244" s="49" t="str">
        <f ca="1">_xlfn.XLOOKUP(OrderT[[#This Row],[Bill Item ID]], BillsT[Bill Item ID], BillsT[Item Name], "")</f>
        <v/>
      </c>
      <c r="P244" s="17"/>
      <c r="Q244" s="17"/>
    </row>
    <row r="245" spans="1:17" ht="15" customHeight="1">
      <c r="A245" s="22"/>
      <c r="B245" s="22"/>
      <c r="C245" s="22" t="str">
        <f ca="1">_xlfn.XLOOKUP(OrderT[[#This Row],[Bill Item ID]], BillsT[Bill Item ID], BillsT[Bill No.], "")</f>
        <v/>
      </c>
      <c r="D245" s="49" t="str">
        <f ca="1">_xlfn.XLOOKUP(OrderT[[#This Row],[Bill Item ID]], BillsT[Bill Item ID], BillsT[Item Name], "")</f>
        <v/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4"/>
      <c r="Q245" s="24"/>
    </row>
    <row r="246" spans="1:17" ht="15" customHeight="1">
      <c r="B246" s="32"/>
      <c r="C246" t="str">
        <f ca="1">_xlfn.XLOOKUP(OrderT[[#This Row],[Bill Item ID]], BillsT[Bill Item ID], BillsT[Bill No.], "")</f>
        <v/>
      </c>
      <c r="D246" s="49" t="str">
        <f ca="1">_xlfn.XLOOKUP(OrderT[[#This Row],[Bill Item ID]], BillsT[Bill Item ID], BillsT[Item Name], "")</f>
        <v/>
      </c>
      <c r="P246" s="17"/>
      <c r="Q246" s="17"/>
    </row>
    <row r="247" spans="1:17" ht="15" customHeight="1">
      <c r="B247" s="32"/>
      <c r="C247" t="str">
        <f ca="1">_xlfn.XLOOKUP(OrderT[[#This Row],[Bill Item ID]], BillsT[Bill Item ID], BillsT[Bill No.], "")</f>
        <v/>
      </c>
      <c r="D247" s="49" t="str">
        <f ca="1">_xlfn.XLOOKUP(OrderT[[#This Row],[Bill Item ID]], BillsT[Bill Item ID], BillsT[Item Name], "")</f>
        <v/>
      </c>
      <c r="P247" s="17"/>
      <c r="Q247" s="17"/>
    </row>
    <row r="248" spans="1:17" ht="15" customHeight="1">
      <c r="B248" s="32"/>
      <c r="C248" t="str">
        <f ca="1">_xlfn.XLOOKUP(OrderT[[#This Row],[Bill Item ID]], BillsT[Bill Item ID], BillsT[Bill No.], "")</f>
        <v/>
      </c>
      <c r="D248" s="49" t="str">
        <f ca="1">_xlfn.XLOOKUP(OrderT[[#This Row],[Bill Item ID]], BillsT[Bill Item ID], BillsT[Item Name], "")</f>
        <v/>
      </c>
      <c r="P248" s="17"/>
      <c r="Q248" s="17"/>
    </row>
    <row r="249" spans="1:17" ht="15" customHeight="1">
      <c r="B249" s="32"/>
      <c r="C249" t="str">
        <f ca="1">_xlfn.XLOOKUP(OrderT[[#This Row],[Bill Item ID]], BillsT[Bill Item ID], BillsT[Bill No.], "")</f>
        <v/>
      </c>
      <c r="D249" s="49" t="str">
        <f ca="1">_xlfn.XLOOKUP(OrderT[[#This Row],[Bill Item ID]], BillsT[Bill Item ID], BillsT[Item Name], "")</f>
        <v/>
      </c>
      <c r="P249" s="17"/>
      <c r="Q249" s="17"/>
    </row>
    <row r="250" spans="1:17" ht="15" customHeight="1">
      <c r="B250" s="32"/>
      <c r="C250" t="str">
        <f ca="1">_xlfn.XLOOKUP(OrderT[[#This Row],[Bill Item ID]], BillsT[Bill Item ID], BillsT[Bill No.], "")</f>
        <v/>
      </c>
      <c r="D250" s="49" t="str">
        <f ca="1">_xlfn.XLOOKUP(OrderT[[#This Row],[Bill Item ID]], BillsT[Bill Item ID], BillsT[Item Name], "")</f>
        <v/>
      </c>
      <c r="P250" s="17"/>
      <c r="Q250" s="17"/>
    </row>
    <row r="251" spans="1:17" ht="15" customHeight="1">
      <c r="B251" s="32"/>
      <c r="C251" t="str">
        <f ca="1">_xlfn.XLOOKUP(OrderT[[#This Row],[Bill Item ID]], BillsT[Bill Item ID], BillsT[Bill No.], "")</f>
        <v/>
      </c>
      <c r="D251" s="49" t="str">
        <f ca="1">_xlfn.XLOOKUP(OrderT[[#This Row],[Bill Item ID]], BillsT[Bill Item ID], BillsT[Item Name], "")</f>
        <v/>
      </c>
      <c r="P251" s="17"/>
      <c r="Q251" s="17"/>
    </row>
    <row r="252" spans="1:17" ht="15" customHeight="1">
      <c r="B252" s="32"/>
      <c r="C252" t="str">
        <f ca="1">_xlfn.XLOOKUP(OrderT[[#This Row],[Bill Item ID]], BillsT[Bill Item ID], BillsT[Bill No.], "")</f>
        <v/>
      </c>
      <c r="D252" s="49" t="str">
        <f ca="1">_xlfn.XLOOKUP(OrderT[[#This Row],[Bill Item ID]], BillsT[Bill Item ID], BillsT[Item Name], "")</f>
        <v/>
      </c>
      <c r="P252" s="17"/>
      <c r="Q252" s="17"/>
    </row>
    <row r="253" spans="1:17" ht="15" customHeight="1">
      <c r="B253" s="32"/>
      <c r="C253" t="str">
        <f ca="1">_xlfn.XLOOKUP(OrderT[[#This Row],[Bill Item ID]], BillsT[Bill Item ID], BillsT[Bill No.], "")</f>
        <v/>
      </c>
      <c r="D253" s="49" t="str">
        <f ca="1">_xlfn.XLOOKUP(OrderT[[#This Row],[Bill Item ID]], BillsT[Bill Item ID], BillsT[Item Name], "")</f>
        <v/>
      </c>
      <c r="P253" s="17"/>
      <c r="Q253" s="17"/>
    </row>
    <row r="254" spans="1:17" ht="15" customHeight="1">
      <c r="B254" s="32"/>
      <c r="C254" t="str">
        <f ca="1">_xlfn.XLOOKUP(OrderT[[#This Row],[Bill Item ID]], BillsT[Bill Item ID], BillsT[Bill No.], "")</f>
        <v/>
      </c>
      <c r="D254" s="49" t="str">
        <f ca="1">_xlfn.XLOOKUP(OrderT[[#This Row],[Bill Item ID]], BillsT[Bill Item ID], BillsT[Item Name], "")</f>
        <v/>
      </c>
      <c r="P254" s="17"/>
      <c r="Q254" s="17"/>
    </row>
    <row r="255" spans="1:17" ht="15" customHeight="1">
      <c r="C255" t="str">
        <f ca="1">_xlfn.XLOOKUP(OrderT[[#This Row],[Bill Item ID]], BillsT[Bill Item ID], BillsT[Bill No.], "")</f>
        <v/>
      </c>
      <c r="D255" s="49" t="str">
        <f ca="1">_xlfn.XLOOKUP(OrderT[[#This Row],[Bill Item ID]], BillsT[Bill Item ID], BillsT[Item Name], "")</f>
        <v/>
      </c>
      <c r="P255" s="17"/>
      <c r="Q255" s="17"/>
    </row>
    <row r="256" spans="1:17" ht="15" customHeight="1">
      <c r="C256" t="str">
        <f ca="1">_xlfn.XLOOKUP(OrderT[[#This Row],[Bill Item ID]], BillsT[Bill Item ID], BillsT[Bill No.], "")</f>
        <v/>
      </c>
      <c r="D256" s="49" t="str">
        <f ca="1">_xlfn.XLOOKUP(OrderT[[#This Row],[Bill Item ID]], BillsT[Bill Item ID], BillsT[Item Name], "")</f>
        <v/>
      </c>
      <c r="P256" s="17"/>
      <c r="Q256" s="17"/>
    </row>
    <row r="257" spans="1:18" ht="15" customHeight="1">
      <c r="C257" t="str">
        <f ca="1">_xlfn.XLOOKUP(OrderT[[#This Row],[Bill Item ID]], BillsT[Bill Item ID], BillsT[Bill No.], "")</f>
        <v/>
      </c>
      <c r="D257" s="49" t="str">
        <f ca="1">_xlfn.XLOOKUP(OrderT[[#This Row],[Bill Item ID]], BillsT[Bill Item ID], BillsT[Item Name], "")</f>
        <v/>
      </c>
      <c r="P257" s="17"/>
      <c r="Q257" s="17"/>
    </row>
    <row r="258" spans="1:18" ht="15" customHeight="1">
      <c r="C258" t="str">
        <f ca="1">_xlfn.XLOOKUP(OrderT[[#This Row],[Bill Item ID]], BillsT[Bill Item ID], BillsT[Bill No.], "")</f>
        <v/>
      </c>
      <c r="D258" s="49" t="str">
        <f ca="1">_xlfn.XLOOKUP(OrderT[[#This Row],[Bill Item ID]], BillsT[Bill Item ID], BillsT[Item Name], "")</f>
        <v/>
      </c>
      <c r="P258" s="17"/>
      <c r="Q258" s="17"/>
    </row>
    <row r="259" spans="1:18" ht="15" customHeight="1">
      <c r="A259" s="22"/>
      <c r="B259" s="22"/>
      <c r="C259" s="22" t="str">
        <f ca="1">_xlfn.XLOOKUP(OrderT[[#This Row],[Bill Item ID]], BillsT[Bill Item ID], BillsT[Bill No.], "")</f>
        <v/>
      </c>
      <c r="D259" s="49" t="str">
        <f ca="1">_xlfn.XLOOKUP(OrderT[[#This Row],[Bill Item ID]], BillsT[Bill Item ID], BillsT[Item Name], "")</f>
        <v/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4"/>
      <c r="Q259" s="24"/>
      <c r="R259" s="22"/>
    </row>
    <row r="260" spans="1:18" ht="15" customHeight="1">
      <c r="C260" t="str">
        <f ca="1">_xlfn.XLOOKUP(OrderT[[#This Row],[Bill Item ID]], BillsT[Bill Item ID], BillsT[Bill No.], "")</f>
        <v/>
      </c>
      <c r="D260" s="49" t="str">
        <f ca="1">_xlfn.XLOOKUP(OrderT[[#This Row],[Bill Item ID]], BillsT[Bill Item ID], BillsT[Item Name], "")</f>
        <v/>
      </c>
      <c r="P260" s="17"/>
      <c r="Q260" s="17"/>
    </row>
    <row r="261" spans="1:18" ht="15" customHeight="1">
      <c r="C261" t="str">
        <f ca="1">_xlfn.XLOOKUP(OrderT[[#This Row],[Bill Item ID]], BillsT[Bill Item ID], BillsT[Bill No.], "")</f>
        <v/>
      </c>
      <c r="D261" s="49" t="str">
        <f ca="1">_xlfn.XLOOKUP(OrderT[[#This Row],[Bill Item ID]], BillsT[Bill Item ID], BillsT[Item Name], "")</f>
        <v/>
      </c>
      <c r="P261" s="17"/>
      <c r="Q261" s="17"/>
    </row>
    <row r="262" spans="1:18" ht="15" customHeight="1">
      <c r="C262" t="str">
        <f ca="1">_xlfn.XLOOKUP(OrderT[[#This Row],[Bill Item ID]], BillsT[Bill Item ID], BillsT[Bill No.], "")</f>
        <v/>
      </c>
      <c r="D262" s="49" t="str">
        <f ca="1">_xlfn.XLOOKUP(OrderT[[#This Row],[Bill Item ID]], BillsT[Bill Item ID], BillsT[Item Name], "")</f>
        <v/>
      </c>
      <c r="P262" s="17"/>
      <c r="Q262" s="17"/>
    </row>
    <row r="263" spans="1:18" ht="15" customHeight="1">
      <c r="C263" t="str">
        <f ca="1">_xlfn.XLOOKUP(OrderT[[#This Row],[Bill Item ID]], BillsT[Bill Item ID], BillsT[Bill No.], "")</f>
        <v/>
      </c>
      <c r="D263" s="49" t="str">
        <f ca="1">_xlfn.XLOOKUP(OrderT[[#This Row],[Bill Item ID]], BillsT[Bill Item ID], BillsT[Item Name], "")</f>
        <v/>
      </c>
      <c r="P263" s="17"/>
      <c r="Q263" s="17"/>
    </row>
    <row r="264" spans="1:18" ht="15" customHeight="1">
      <c r="C264" t="str">
        <f ca="1">_xlfn.XLOOKUP(OrderT[[#This Row],[Bill Item ID]], BillsT[Bill Item ID], BillsT[Bill No.], "")</f>
        <v/>
      </c>
      <c r="D264" s="49" t="str">
        <f ca="1">_xlfn.XLOOKUP(OrderT[[#This Row],[Bill Item ID]], BillsT[Bill Item ID], BillsT[Item Name], "")</f>
        <v/>
      </c>
      <c r="P264" s="17"/>
      <c r="Q264" s="17"/>
    </row>
    <row r="265" spans="1:18" ht="15" customHeight="1">
      <c r="A265" s="22"/>
      <c r="B265" s="22"/>
      <c r="C265" s="22" t="str">
        <f ca="1">_xlfn.XLOOKUP(OrderT[[#This Row],[Bill Item ID]], BillsT[Bill Item ID], BillsT[Bill No.], "")</f>
        <v/>
      </c>
      <c r="D265" s="49" t="str">
        <f ca="1">_xlfn.XLOOKUP(OrderT[[#This Row],[Bill Item ID]], BillsT[Bill Item ID], BillsT[Item Name], "")</f>
        <v/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4"/>
      <c r="Q265" s="24"/>
      <c r="R265" s="22"/>
    </row>
    <row r="266" spans="1:18" ht="15" customHeight="1">
      <c r="C266" t="str">
        <f ca="1">_xlfn.XLOOKUP(OrderT[[#This Row],[Bill Item ID]], BillsT[Bill Item ID], BillsT[Bill No.], "")</f>
        <v/>
      </c>
      <c r="D266" s="49" t="str">
        <f ca="1">_xlfn.XLOOKUP(OrderT[[#This Row],[Bill Item ID]], BillsT[Bill Item ID], BillsT[Item Name], "")</f>
        <v/>
      </c>
      <c r="P266" s="17"/>
      <c r="Q266" s="17"/>
    </row>
    <row r="267" spans="1:18" ht="15" customHeight="1">
      <c r="C267" t="str">
        <f ca="1">_xlfn.XLOOKUP(OrderT[[#This Row],[Bill Item ID]], BillsT[Bill Item ID], BillsT[Bill No.], "")</f>
        <v/>
      </c>
      <c r="D267" s="49" t="str">
        <f ca="1">_xlfn.XLOOKUP(OrderT[[#This Row],[Bill Item ID]], BillsT[Bill Item ID], BillsT[Item Name], "")</f>
        <v/>
      </c>
      <c r="P267" s="17"/>
      <c r="Q267" s="17"/>
    </row>
    <row r="268" spans="1:18" ht="15" customHeight="1">
      <c r="C268" t="str">
        <f ca="1">_xlfn.XLOOKUP(OrderT[[#This Row],[Bill Item ID]], BillsT[Bill Item ID], BillsT[Bill No.], "")</f>
        <v/>
      </c>
      <c r="D268" s="49" t="str">
        <f ca="1">_xlfn.XLOOKUP(OrderT[[#This Row],[Bill Item ID]], BillsT[Bill Item ID], BillsT[Item Name], "")</f>
        <v/>
      </c>
      <c r="P268" s="17"/>
      <c r="Q268" s="17"/>
    </row>
    <row r="269" spans="1:18" s="22" customFormat="1" ht="15" customHeight="1">
      <c r="C269" t="str">
        <f ca="1">_xlfn.XLOOKUP(OrderT[[#This Row],[Bill Item ID]], BillsT[Bill Item ID], BillsT[Bill No.], "")</f>
        <v/>
      </c>
      <c r="D269" s="49" t="str">
        <f ca="1">_xlfn.XLOOKUP(OrderT[[#This Row],[Bill Item ID]], BillsT[Bill Item ID], BillsT[Item Name], "")</f>
        <v/>
      </c>
      <c r="P269" s="17"/>
      <c r="Q269" s="17"/>
    </row>
    <row r="270" spans="1:18" ht="15" customHeight="1">
      <c r="A270" s="22"/>
      <c r="B270" s="22"/>
      <c r="C270" s="22" t="str">
        <f ca="1">_xlfn.XLOOKUP(OrderT[[#This Row],[Bill Item ID]], BillsT[Bill Item ID], BillsT[Bill No.], "")</f>
        <v/>
      </c>
      <c r="D270" s="49" t="str">
        <f ca="1">_xlfn.XLOOKUP(OrderT[[#This Row],[Bill Item ID]], BillsT[Bill Item ID], BillsT[Item Name], "")</f>
        <v/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4"/>
      <c r="Q270" s="24"/>
      <c r="R270" s="22"/>
    </row>
    <row r="271" spans="1:18" ht="15" customHeight="1">
      <c r="C271" t="str">
        <f ca="1">_xlfn.XLOOKUP(OrderT[[#This Row],[Bill Item ID]], BillsT[Bill Item ID], BillsT[Bill No.], "")</f>
        <v/>
      </c>
      <c r="D271" s="49" t="str">
        <f ca="1">_xlfn.XLOOKUP(OrderT[[#This Row],[Bill Item ID]], BillsT[Bill Item ID], BillsT[Item Name], "")</f>
        <v/>
      </c>
      <c r="P271" s="17"/>
      <c r="Q271" s="17"/>
    </row>
    <row r="272" spans="1:18" ht="15" customHeight="1">
      <c r="C272" t="str">
        <f ca="1">_xlfn.XLOOKUP(OrderT[[#This Row],[Bill Item ID]], BillsT[Bill Item ID], BillsT[Bill No.], "")</f>
        <v/>
      </c>
      <c r="D272" s="49" t="str">
        <f ca="1">_xlfn.XLOOKUP(OrderT[[#This Row],[Bill Item ID]], BillsT[Bill Item ID], BillsT[Item Name], "")</f>
        <v/>
      </c>
      <c r="P272" s="17"/>
      <c r="Q272" s="17"/>
    </row>
    <row r="273" spans="3:17" ht="15" customHeight="1">
      <c r="C273" t="str">
        <f ca="1">_xlfn.XLOOKUP(OrderT[[#This Row],[Bill Item ID]], BillsT[Bill Item ID], BillsT[Bill No.], "")</f>
        <v/>
      </c>
      <c r="D273" s="49" t="str">
        <f ca="1">_xlfn.XLOOKUP(OrderT[[#This Row],[Bill Item ID]], BillsT[Bill Item ID], BillsT[Item Name], "")</f>
        <v/>
      </c>
      <c r="P273" s="17"/>
      <c r="Q273" s="17"/>
    </row>
    <row r="274" spans="3:17" ht="15" customHeight="1">
      <c r="C274" t="str">
        <f ca="1">_xlfn.XLOOKUP(OrderT[[#This Row],[Bill Item ID]], BillsT[Bill Item ID], BillsT[Bill No.], "")</f>
        <v/>
      </c>
      <c r="D274" s="49" t="str">
        <f ca="1">_xlfn.XLOOKUP(OrderT[[#This Row],[Bill Item ID]], BillsT[Bill Item ID], BillsT[Item Name], "")</f>
        <v/>
      </c>
      <c r="P274" s="17"/>
      <c r="Q274" s="17"/>
    </row>
    <row r="275" spans="3:17" ht="15" customHeight="1">
      <c r="C275" t="str">
        <f ca="1">_xlfn.XLOOKUP(OrderT[[#This Row],[Bill Item ID]], BillsT[Bill Item ID], BillsT[Bill No.], "")</f>
        <v/>
      </c>
      <c r="D275" s="49" t="str">
        <f ca="1">_xlfn.XLOOKUP(OrderT[[#This Row],[Bill Item ID]], BillsT[Bill Item ID], BillsT[Item Name], "")</f>
        <v/>
      </c>
      <c r="P275" s="17"/>
      <c r="Q275" s="17"/>
    </row>
    <row r="276" spans="3:17" ht="15" customHeight="1">
      <c r="C276" t="str">
        <f ca="1">_xlfn.XLOOKUP(OrderT[[#This Row],[Bill Item ID]], BillsT[Bill Item ID], BillsT[Bill No.], "")</f>
        <v/>
      </c>
      <c r="D276" s="49" t="str">
        <f ca="1">_xlfn.XLOOKUP(OrderT[[#This Row],[Bill Item ID]], BillsT[Bill Item ID], BillsT[Item Name], "")</f>
        <v/>
      </c>
      <c r="P276" s="17"/>
      <c r="Q276" s="17"/>
    </row>
    <row r="277" spans="3:17" ht="15" customHeight="1">
      <c r="C277" t="str">
        <f ca="1">_xlfn.XLOOKUP(OrderT[[#This Row],[Bill Item ID]], BillsT[Bill Item ID], BillsT[Bill No.], "")</f>
        <v/>
      </c>
      <c r="D277" s="49" t="str">
        <f ca="1">_xlfn.XLOOKUP(OrderT[[#This Row],[Bill Item ID]], BillsT[Bill Item ID], BillsT[Item Name], "")</f>
        <v/>
      </c>
      <c r="P277" s="17"/>
      <c r="Q277" s="17"/>
    </row>
    <row r="278" spans="3:17" ht="15" customHeight="1">
      <c r="C278" t="str">
        <f ca="1">_xlfn.XLOOKUP(OrderT[[#This Row],[Bill Item ID]], BillsT[Bill Item ID], BillsT[Bill No.], "")</f>
        <v/>
      </c>
      <c r="D278" s="49" t="str">
        <f ca="1">_xlfn.XLOOKUP(OrderT[[#This Row],[Bill Item ID]], BillsT[Bill Item ID], BillsT[Item Name], "")</f>
        <v/>
      </c>
      <c r="P278" s="17"/>
      <c r="Q278" s="17"/>
    </row>
    <row r="279" spans="3:17" ht="15" customHeight="1">
      <c r="C279" t="str">
        <f ca="1">_xlfn.XLOOKUP(OrderT[[#This Row],[Bill Item ID]], BillsT[Bill Item ID], BillsT[Bill No.], "")</f>
        <v/>
      </c>
      <c r="D279" s="49" t="str">
        <f ca="1">_xlfn.XLOOKUP(OrderT[[#This Row],[Bill Item ID]], BillsT[Bill Item ID], BillsT[Item Name], "")</f>
        <v/>
      </c>
      <c r="P279" s="17"/>
      <c r="Q279" s="17"/>
    </row>
    <row r="280" spans="3:17" ht="15" customHeight="1">
      <c r="C280" t="str">
        <f ca="1">_xlfn.XLOOKUP(OrderT[[#This Row],[Bill Item ID]], BillsT[Bill Item ID], BillsT[Bill No.], "")</f>
        <v/>
      </c>
      <c r="D280" s="49" t="str">
        <f ca="1">_xlfn.XLOOKUP(OrderT[[#This Row],[Bill Item ID]], BillsT[Bill Item ID], BillsT[Item Name], "")</f>
        <v/>
      </c>
      <c r="P280" s="17"/>
      <c r="Q280" s="17"/>
    </row>
    <row r="281" spans="3:17" ht="15" customHeight="1">
      <c r="C281" t="str">
        <f ca="1">_xlfn.XLOOKUP(OrderT[[#This Row],[Bill Item ID]], BillsT[Bill Item ID], BillsT[Bill No.], "")</f>
        <v/>
      </c>
      <c r="D281" s="49" t="str">
        <f ca="1">_xlfn.XLOOKUP(OrderT[[#This Row],[Bill Item ID]], BillsT[Bill Item ID], BillsT[Item Name], "")</f>
        <v/>
      </c>
      <c r="P281" s="17"/>
      <c r="Q281" s="17"/>
    </row>
    <row r="282" spans="3:17" ht="15" customHeight="1">
      <c r="C282" t="str">
        <f ca="1">_xlfn.XLOOKUP(OrderT[[#This Row],[Bill Item ID]], BillsT[Bill Item ID], BillsT[Bill No.], "")</f>
        <v/>
      </c>
      <c r="D282" s="49" t="str">
        <f ca="1">_xlfn.XLOOKUP(OrderT[[#This Row],[Bill Item ID]], BillsT[Bill Item ID], BillsT[Item Name], "")</f>
        <v/>
      </c>
      <c r="P282" s="17"/>
      <c r="Q282" s="17"/>
    </row>
    <row r="283" spans="3:17" ht="15" customHeight="1">
      <c r="C283" t="str">
        <f ca="1">_xlfn.XLOOKUP(OrderT[[#This Row],[Bill Item ID]], BillsT[Bill Item ID], BillsT[Bill No.], "")</f>
        <v/>
      </c>
      <c r="D283" s="49" t="str">
        <f ca="1">_xlfn.XLOOKUP(OrderT[[#This Row],[Bill Item ID]], BillsT[Bill Item ID], BillsT[Item Name], "")</f>
        <v/>
      </c>
      <c r="P283" s="17"/>
      <c r="Q283" s="17"/>
    </row>
    <row r="284" spans="3:17" ht="15" customHeight="1">
      <c r="C284" t="str">
        <f ca="1">_xlfn.XLOOKUP(OrderT[[#This Row],[Bill Item ID]], BillsT[Bill Item ID], BillsT[Bill No.], "")</f>
        <v/>
      </c>
      <c r="D284" s="49" t="str">
        <f ca="1">_xlfn.XLOOKUP(OrderT[[#This Row],[Bill Item ID]], BillsT[Bill Item ID], BillsT[Item Name], "")</f>
        <v/>
      </c>
      <c r="P284" s="17"/>
      <c r="Q284" s="17"/>
    </row>
    <row r="285" spans="3:17" ht="15" customHeight="1">
      <c r="C285" t="str">
        <f ca="1">_xlfn.XLOOKUP(OrderT[[#This Row],[Bill Item ID]], BillsT[Bill Item ID], BillsT[Bill No.], "")</f>
        <v/>
      </c>
      <c r="D285" s="49" t="str">
        <f ca="1">_xlfn.XLOOKUP(OrderT[[#This Row],[Bill Item ID]], BillsT[Bill Item ID], BillsT[Item Name], "")</f>
        <v/>
      </c>
      <c r="P285" s="17"/>
      <c r="Q285" s="17"/>
    </row>
    <row r="286" spans="3:17" ht="15" customHeight="1">
      <c r="C286" t="str">
        <f ca="1">_xlfn.XLOOKUP(OrderT[[#This Row],[Bill Item ID]], BillsT[Bill Item ID], BillsT[Bill No.], "")</f>
        <v/>
      </c>
      <c r="D286" s="49" t="str">
        <f ca="1">_xlfn.XLOOKUP(OrderT[[#This Row],[Bill Item ID]], BillsT[Bill Item ID], BillsT[Item Name], "")</f>
        <v/>
      </c>
      <c r="P286" s="17"/>
      <c r="Q286" s="17"/>
    </row>
    <row r="287" spans="3:17" ht="15" customHeight="1">
      <c r="C287" t="str">
        <f ca="1">_xlfn.XLOOKUP(OrderT[[#This Row],[Bill Item ID]], BillsT[Bill Item ID], BillsT[Bill No.], "")</f>
        <v/>
      </c>
      <c r="D287" s="49" t="str">
        <f ca="1">_xlfn.XLOOKUP(OrderT[[#This Row],[Bill Item ID]], BillsT[Bill Item ID], BillsT[Item Name], "")</f>
        <v/>
      </c>
      <c r="P287" s="17"/>
      <c r="Q287" s="17"/>
    </row>
    <row r="288" spans="3:17" ht="15" customHeight="1">
      <c r="C288" t="str">
        <f ca="1">_xlfn.XLOOKUP(OrderT[[#This Row],[Bill Item ID]], BillsT[Bill Item ID], BillsT[Bill No.], "")</f>
        <v/>
      </c>
      <c r="D288" s="49" t="str">
        <f ca="1">_xlfn.XLOOKUP(OrderT[[#This Row],[Bill Item ID]], BillsT[Bill Item ID], BillsT[Item Name], "")</f>
        <v/>
      </c>
      <c r="P288" s="17"/>
      <c r="Q288" s="17"/>
    </row>
    <row r="289" spans="3:17" ht="15" customHeight="1">
      <c r="C289" t="str">
        <f ca="1">_xlfn.XLOOKUP(OrderT[[#This Row],[Bill Item ID]], BillsT[Bill Item ID], BillsT[Bill No.], "")</f>
        <v/>
      </c>
      <c r="D289" s="49" t="str">
        <f ca="1">_xlfn.XLOOKUP(OrderT[[#This Row],[Bill Item ID]], BillsT[Bill Item ID], BillsT[Item Name], "")</f>
        <v/>
      </c>
      <c r="P289" s="17"/>
      <c r="Q289" s="17"/>
    </row>
    <row r="290" spans="3:17" ht="15" customHeight="1">
      <c r="C290" t="str">
        <f ca="1">_xlfn.XLOOKUP(OrderT[[#This Row],[Bill Item ID]], BillsT[Bill Item ID], BillsT[Bill No.], "")</f>
        <v/>
      </c>
      <c r="D290" s="49" t="str">
        <f ca="1">_xlfn.XLOOKUP(OrderT[[#This Row],[Bill Item ID]], BillsT[Bill Item ID], BillsT[Item Name], "")</f>
        <v/>
      </c>
      <c r="P290" s="17"/>
      <c r="Q290" s="17"/>
    </row>
    <row r="291" spans="3:17" ht="15" customHeight="1">
      <c r="C291" t="str">
        <f ca="1">_xlfn.XLOOKUP(OrderT[[#This Row],[Bill Item ID]], BillsT[Bill Item ID], BillsT[Bill No.], "")</f>
        <v/>
      </c>
      <c r="D291" s="49" t="str">
        <f ca="1">_xlfn.XLOOKUP(OrderT[[#This Row],[Bill Item ID]], BillsT[Bill Item ID], BillsT[Item Name], "")</f>
        <v/>
      </c>
      <c r="P291" s="17"/>
      <c r="Q291" s="17"/>
    </row>
    <row r="292" spans="3:17" ht="15" customHeight="1">
      <c r="C292" t="str">
        <f ca="1">_xlfn.XLOOKUP(OrderT[[#This Row],[Bill Item ID]], BillsT[Bill Item ID], BillsT[Bill No.], "")</f>
        <v/>
      </c>
      <c r="D292" s="49" t="str">
        <f ca="1">_xlfn.XLOOKUP(OrderT[[#This Row],[Bill Item ID]], BillsT[Bill Item ID], BillsT[Item Name], "")</f>
        <v/>
      </c>
      <c r="P292" s="17"/>
      <c r="Q292" s="17"/>
    </row>
    <row r="293" spans="3:17" ht="15" customHeight="1">
      <c r="C293" t="str">
        <f ca="1">_xlfn.XLOOKUP(OrderT[[#This Row],[Bill Item ID]], BillsT[Bill Item ID], BillsT[Bill No.], "")</f>
        <v/>
      </c>
      <c r="D293" s="49" t="str">
        <f ca="1">_xlfn.XLOOKUP(OrderT[[#This Row],[Bill Item ID]], BillsT[Bill Item ID], BillsT[Item Name], "")</f>
        <v/>
      </c>
      <c r="P293" s="17"/>
      <c r="Q293" s="17"/>
    </row>
    <row r="294" spans="3:17" ht="15" customHeight="1">
      <c r="C294" t="str">
        <f ca="1">_xlfn.XLOOKUP(OrderT[[#This Row],[Bill Item ID]], BillsT[Bill Item ID], BillsT[Bill No.], "")</f>
        <v/>
      </c>
      <c r="D294" s="49" t="str">
        <f ca="1">_xlfn.XLOOKUP(OrderT[[#This Row],[Bill Item ID]], BillsT[Bill Item ID], BillsT[Item Name], "")</f>
        <v/>
      </c>
      <c r="P294" s="17"/>
      <c r="Q294" s="17"/>
    </row>
    <row r="295" spans="3:17" ht="15" customHeight="1">
      <c r="C295" t="str">
        <f ca="1">_xlfn.XLOOKUP(OrderT[[#This Row],[Bill Item ID]], BillsT[Bill Item ID], BillsT[Bill No.], "")</f>
        <v/>
      </c>
      <c r="D295" s="49" t="str">
        <f ca="1">_xlfn.XLOOKUP(OrderT[[#This Row],[Bill Item ID]], BillsT[Bill Item ID], BillsT[Item Name], "")</f>
        <v/>
      </c>
      <c r="P295" s="17"/>
      <c r="Q295" s="17"/>
    </row>
    <row r="296" spans="3:17" ht="15" customHeight="1">
      <c r="C296" t="str">
        <f ca="1">_xlfn.XLOOKUP(OrderT[[#This Row],[Bill Item ID]], BillsT[Bill Item ID], BillsT[Bill No.], "")</f>
        <v/>
      </c>
      <c r="D296" s="49" t="str">
        <f ca="1">_xlfn.XLOOKUP(OrderT[[#This Row],[Bill Item ID]], BillsT[Bill Item ID], BillsT[Item Name], "")</f>
        <v/>
      </c>
      <c r="P296" s="17"/>
      <c r="Q296" s="17"/>
    </row>
    <row r="297" spans="3:17" ht="15" customHeight="1">
      <c r="C297" t="str">
        <f ca="1">_xlfn.XLOOKUP(OrderT[[#This Row],[Bill Item ID]], BillsT[Bill Item ID], BillsT[Bill No.], "")</f>
        <v/>
      </c>
      <c r="D297" s="49" t="str">
        <f ca="1">_xlfn.XLOOKUP(OrderT[[#This Row],[Bill Item ID]], BillsT[Bill Item ID], BillsT[Item Name], "")</f>
        <v/>
      </c>
      <c r="P297" s="17"/>
      <c r="Q297" s="17"/>
    </row>
    <row r="298" spans="3:17" ht="15" customHeight="1">
      <c r="C298" t="str">
        <f ca="1">_xlfn.XLOOKUP(OrderT[[#This Row],[Bill Item ID]], BillsT[Bill Item ID], BillsT[Bill No.], "")</f>
        <v/>
      </c>
      <c r="D298" s="49" t="str">
        <f ca="1">_xlfn.XLOOKUP(OrderT[[#This Row],[Bill Item ID]], BillsT[Bill Item ID], BillsT[Item Name], "")</f>
        <v/>
      </c>
      <c r="P298" s="17"/>
      <c r="Q298" s="17"/>
    </row>
    <row r="299" spans="3:17" ht="15" customHeight="1">
      <c r="C299" t="str">
        <f ca="1">_xlfn.XLOOKUP(OrderT[[#This Row],[Bill Item ID]], BillsT[Bill Item ID], BillsT[Bill No.], "")</f>
        <v/>
      </c>
      <c r="D299" s="49" t="str">
        <f ca="1">_xlfn.XLOOKUP(OrderT[[#This Row],[Bill Item ID]], BillsT[Bill Item ID], BillsT[Item Name], "")</f>
        <v/>
      </c>
      <c r="P299" s="17"/>
      <c r="Q299" s="17"/>
    </row>
    <row r="300" spans="3:17" ht="15" customHeight="1">
      <c r="C300" t="str">
        <f ca="1">_xlfn.XLOOKUP(OrderT[[#This Row],[Bill Item ID]], BillsT[Bill Item ID], BillsT[Bill No.], "")</f>
        <v/>
      </c>
      <c r="D300" s="49" t="str">
        <f ca="1">_xlfn.XLOOKUP(OrderT[[#This Row],[Bill Item ID]], BillsT[Bill Item ID], BillsT[Item Name], "")</f>
        <v/>
      </c>
      <c r="P300" s="17"/>
      <c r="Q300" s="17"/>
    </row>
    <row r="301" spans="3:17" ht="15" customHeight="1">
      <c r="C301" t="str">
        <f ca="1">_xlfn.XLOOKUP(OrderT[[#This Row],[Bill Item ID]], BillsT[Bill Item ID], BillsT[Bill No.], "")</f>
        <v/>
      </c>
      <c r="D301" s="49" t="str">
        <f ca="1">_xlfn.XLOOKUP(OrderT[[#This Row],[Bill Item ID]], BillsT[Bill Item ID], BillsT[Item Name], "")</f>
        <v/>
      </c>
      <c r="P301" s="17"/>
      <c r="Q301" s="17"/>
    </row>
    <row r="302" spans="3:17" ht="15" customHeight="1">
      <c r="C302" t="str">
        <f ca="1">_xlfn.XLOOKUP(OrderT[[#This Row],[Bill Item ID]], BillsT[Bill Item ID], BillsT[Bill No.], "")</f>
        <v/>
      </c>
      <c r="D302" s="49" t="str">
        <f ca="1">_xlfn.XLOOKUP(OrderT[[#This Row],[Bill Item ID]], BillsT[Bill Item ID], BillsT[Item Name], "")</f>
        <v/>
      </c>
      <c r="P302" s="17"/>
      <c r="Q302" s="17"/>
    </row>
    <row r="303" spans="3:17" ht="15" customHeight="1">
      <c r="C303" t="str">
        <f ca="1">_xlfn.XLOOKUP(OrderT[[#This Row],[Bill Item ID]], BillsT[Bill Item ID], BillsT[Bill No.], "")</f>
        <v/>
      </c>
      <c r="D303" s="49" t="str">
        <f ca="1">_xlfn.XLOOKUP(OrderT[[#This Row],[Bill Item ID]], BillsT[Bill Item ID], BillsT[Item Name], "")</f>
        <v/>
      </c>
      <c r="P303" s="17"/>
      <c r="Q303" s="17"/>
    </row>
    <row r="304" spans="3:17" ht="15" customHeight="1">
      <c r="C304" t="str">
        <f ca="1">_xlfn.XLOOKUP(OrderT[[#This Row],[Bill Item ID]], BillsT[Bill Item ID], BillsT[Bill No.], "")</f>
        <v/>
      </c>
      <c r="D304" s="49" t="str">
        <f ca="1">_xlfn.XLOOKUP(OrderT[[#This Row],[Bill Item ID]], BillsT[Bill Item ID], BillsT[Item Name], "")</f>
        <v/>
      </c>
      <c r="P304" s="17"/>
      <c r="Q304" s="17"/>
    </row>
    <row r="305" spans="1:18" ht="1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33"/>
      <c r="Q305" s="33"/>
      <c r="R305" s="22"/>
    </row>
  </sheetData>
  <conditionalFormatting sqref="B204">
    <cfRule type="duplicateValues" dxfId="42" priority="6"/>
  </conditionalFormatting>
  <conditionalFormatting sqref="B243">
    <cfRule type="duplicateValues" dxfId="41" priority="4"/>
  </conditionalFormatting>
  <conditionalFormatting sqref="B246:B254">
    <cfRule type="duplicateValues" dxfId="40" priority="405"/>
  </conditionalFormatting>
  <conditionalFormatting sqref="M261 M284:M304 M306:M1048576">
    <cfRule type="cellIs" dxfId="39" priority="88" operator="equal">
      <formula>"mcmaster"</formula>
    </cfRule>
    <cfRule type="cellIs" dxfId="38" priority="89" operator="equal">
      <formula>"amazon"</formula>
    </cfRule>
    <cfRule type="cellIs" dxfId="37" priority="90" operator="equal">
      <formula>"mouser"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"/>
  <sheetViews>
    <sheetView topLeftCell="A50" zoomScale="63" workbookViewId="0">
      <selection activeCell="B55" sqref="B55"/>
    </sheetView>
  </sheetViews>
  <sheetFormatPr defaultColWidth="8.85546875" defaultRowHeight="15"/>
  <cols>
    <col min="1" max="1" width="37" bestFit="1" customWidth="1"/>
    <col min="2" max="2" width="25.42578125" bestFit="1" customWidth="1"/>
    <col min="3" max="3" width="26.85546875" bestFit="1" customWidth="1"/>
    <col min="4" max="4" width="141.42578125" bestFit="1" customWidth="1"/>
    <col min="5" max="5" width="11.140625" bestFit="1" customWidth="1"/>
    <col min="8" max="8" width="9.85546875" bestFit="1" customWidth="1"/>
    <col min="9" max="9" width="18.42578125" customWidth="1"/>
    <col min="10" max="10" width="24.85546875" customWidth="1"/>
    <col min="11" max="11" width="17.42578125" bestFit="1" customWidth="1"/>
  </cols>
  <sheetData>
    <row r="1" spans="1:11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6" t="s">
        <v>9</v>
      </c>
      <c r="G1" s="8" t="s">
        <v>10</v>
      </c>
      <c r="H1" s="1" t="s">
        <v>11</v>
      </c>
      <c r="I1" s="29" t="s">
        <v>12</v>
      </c>
      <c r="J1" s="1" t="s">
        <v>13</v>
      </c>
      <c r="K1" s="1"/>
    </row>
    <row r="2" spans="1:11">
      <c r="A2" t="s">
        <v>148</v>
      </c>
      <c r="B2" t="s">
        <v>149</v>
      </c>
      <c r="C2" t="s">
        <v>150</v>
      </c>
      <c r="D2" t="s">
        <v>151</v>
      </c>
      <c r="E2">
        <v>8</v>
      </c>
      <c r="F2">
        <v>150</v>
      </c>
      <c r="G2">
        <v>1200</v>
      </c>
      <c r="I2" s="17" t="s">
        <v>152</v>
      </c>
    </row>
    <row r="3" spans="1:11">
      <c r="A3" t="s">
        <v>153</v>
      </c>
      <c r="B3" t="s">
        <v>154</v>
      </c>
      <c r="C3" t="s">
        <v>155</v>
      </c>
      <c r="D3" t="s">
        <v>156</v>
      </c>
      <c r="E3">
        <v>8</v>
      </c>
      <c r="F3">
        <f>8*40</f>
        <v>320</v>
      </c>
      <c r="G3">
        <f>E3*F3</f>
        <v>2560</v>
      </c>
      <c r="I3" s="17" t="s">
        <v>157</v>
      </c>
    </row>
    <row r="6" spans="1:11">
      <c r="A6" t="s">
        <v>158</v>
      </c>
      <c r="B6" t="s">
        <v>159</v>
      </c>
      <c r="D6" t="s">
        <v>160</v>
      </c>
      <c r="E6">
        <v>1</v>
      </c>
      <c r="F6">
        <f>6*75</f>
        <v>450</v>
      </c>
      <c r="G6">
        <v>450</v>
      </c>
      <c r="I6" t="s">
        <v>161</v>
      </c>
    </row>
    <row r="7" spans="1:11">
      <c r="A7" t="s">
        <v>162</v>
      </c>
      <c r="B7" t="s">
        <v>154</v>
      </c>
      <c r="D7" t="s">
        <v>163</v>
      </c>
      <c r="E7">
        <v>6</v>
      </c>
      <c r="F7">
        <f>6*40</f>
        <v>240</v>
      </c>
      <c r="G7">
        <f>E7*F7</f>
        <v>1440</v>
      </c>
      <c r="I7" s="17" t="s">
        <v>164</v>
      </c>
    </row>
    <row r="10" spans="1:11">
      <c r="A10" t="s">
        <v>165</v>
      </c>
      <c r="D10" t="s">
        <v>166</v>
      </c>
      <c r="E10">
        <v>1</v>
      </c>
      <c r="F10">
        <v>1500</v>
      </c>
      <c r="G10">
        <v>1500</v>
      </c>
      <c r="H10" s="17" t="s">
        <v>167</v>
      </c>
      <c r="I10" t="s">
        <v>161</v>
      </c>
    </row>
    <row r="11" spans="1:11">
      <c r="A11" t="s">
        <v>168</v>
      </c>
      <c r="B11" t="s">
        <v>149</v>
      </c>
      <c r="D11" t="s">
        <v>169</v>
      </c>
      <c r="E11">
        <v>10</v>
      </c>
      <c r="F11">
        <v>150</v>
      </c>
      <c r="G11">
        <v>1500</v>
      </c>
      <c r="I11" s="17" t="s">
        <v>170</v>
      </c>
    </row>
    <row r="12" spans="1:11">
      <c r="A12" t="s">
        <v>171</v>
      </c>
      <c r="B12" t="s">
        <v>154</v>
      </c>
      <c r="D12" t="s">
        <v>172</v>
      </c>
      <c r="E12">
        <v>10</v>
      </c>
      <c r="F12">
        <f>7*40</f>
        <v>280</v>
      </c>
      <c r="G12">
        <f>E12*F12</f>
        <v>2800</v>
      </c>
      <c r="I12" s="17" t="s">
        <v>173</v>
      </c>
    </row>
    <row r="15" spans="1:11">
      <c r="A15" t="s">
        <v>174</v>
      </c>
      <c r="B15" t="s">
        <v>175</v>
      </c>
      <c r="C15" t="s">
        <v>176</v>
      </c>
      <c r="D15" t="s">
        <v>177</v>
      </c>
      <c r="E15">
        <v>5</v>
      </c>
      <c r="F15">
        <v>57.66</v>
      </c>
      <c r="G15">
        <f>57.66*5</f>
        <v>288.29999999999995</v>
      </c>
      <c r="H15" s="17" t="s">
        <v>178</v>
      </c>
      <c r="I15" s="17" t="s">
        <v>179</v>
      </c>
    </row>
    <row r="16" spans="1:11">
      <c r="A16" t="s">
        <v>180</v>
      </c>
      <c r="B16" t="s">
        <v>175</v>
      </c>
      <c r="C16" t="s">
        <v>181</v>
      </c>
      <c r="D16" t="s">
        <v>182</v>
      </c>
      <c r="E16">
        <v>4</v>
      </c>
      <c r="F16">
        <v>28.89</v>
      </c>
      <c r="G16">
        <v>115.56</v>
      </c>
      <c r="H16" s="17" t="s">
        <v>183</v>
      </c>
      <c r="I16" s="17" t="s">
        <v>184</v>
      </c>
    </row>
    <row r="17" spans="1:9">
      <c r="A17" t="s">
        <v>185</v>
      </c>
      <c r="B17" t="s">
        <v>175</v>
      </c>
      <c r="C17" t="s">
        <v>181</v>
      </c>
      <c r="D17" t="s">
        <v>182</v>
      </c>
      <c r="E17">
        <v>2</v>
      </c>
      <c r="F17">
        <v>159.99</v>
      </c>
      <c r="G17">
        <v>319.98</v>
      </c>
      <c r="H17" s="17" t="s">
        <v>186</v>
      </c>
      <c r="I17" s="17" t="s">
        <v>187</v>
      </c>
    </row>
    <row r="18" spans="1:9">
      <c r="A18" t="s">
        <v>188</v>
      </c>
      <c r="B18" t="s">
        <v>175</v>
      </c>
      <c r="C18" t="s">
        <v>189</v>
      </c>
      <c r="D18" t="s">
        <v>190</v>
      </c>
      <c r="E18">
        <v>5</v>
      </c>
      <c r="F18">
        <v>21.27</v>
      </c>
      <c r="G18">
        <f>21.27*5</f>
        <v>106.35</v>
      </c>
      <c r="H18" s="17" t="s">
        <v>191</v>
      </c>
      <c r="I18" s="17" t="s">
        <v>192</v>
      </c>
    </row>
    <row r="19" spans="1:9">
      <c r="A19" t="s">
        <v>193</v>
      </c>
      <c r="B19" t="s">
        <v>175</v>
      </c>
      <c r="C19" t="s">
        <v>87</v>
      </c>
      <c r="D19" t="s">
        <v>194</v>
      </c>
      <c r="E19">
        <v>5</v>
      </c>
      <c r="F19">
        <v>59.98</v>
      </c>
      <c r="G19">
        <f>59.98*5</f>
        <v>299.89999999999998</v>
      </c>
      <c r="H19" s="17" t="s">
        <v>195</v>
      </c>
      <c r="I19" s="17" t="s">
        <v>196</v>
      </c>
    </row>
    <row r="20" spans="1:9">
      <c r="A20" t="s">
        <v>197</v>
      </c>
      <c r="B20" t="s">
        <v>175</v>
      </c>
      <c r="C20" t="s">
        <v>87</v>
      </c>
      <c r="D20" t="s">
        <v>198</v>
      </c>
      <c r="E20">
        <v>10</v>
      </c>
      <c r="F20">
        <v>5.92</v>
      </c>
      <c r="G20">
        <f>5.92*10</f>
        <v>59.2</v>
      </c>
      <c r="H20" s="17" t="s">
        <v>199</v>
      </c>
      <c r="I20" s="17" t="s">
        <v>200</v>
      </c>
    </row>
    <row r="21" spans="1:9">
      <c r="H21" s="17"/>
    </row>
    <row r="22" spans="1:9">
      <c r="A22" t="s">
        <v>201</v>
      </c>
      <c r="B22" t="s">
        <v>175</v>
      </c>
      <c r="C22" t="s">
        <v>37</v>
      </c>
      <c r="D22" t="s">
        <v>202</v>
      </c>
      <c r="E22">
        <v>4</v>
      </c>
      <c r="F22">
        <v>26.8</v>
      </c>
      <c r="G22">
        <f t="shared" ref="G22:G33" si="0">PRODUCT(E22:F22)</f>
        <v>107.2</v>
      </c>
      <c r="H22" s="17" t="s">
        <v>203</v>
      </c>
      <c r="I22" s="17" t="s">
        <v>204</v>
      </c>
    </row>
    <row r="23" spans="1:9">
      <c r="A23" t="s">
        <v>205</v>
      </c>
      <c r="B23" t="s">
        <v>175</v>
      </c>
      <c r="C23" t="s">
        <v>37</v>
      </c>
      <c r="D23" t="s">
        <v>206</v>
      </c>
      <c r="E23">
        <v>4</v>
      </c>
      <c r="F23">
        <v>16.989999999999998</v>
      </c>
      <c r="G23">
        <f t="shared" si="0"/>
        <v>67.959999999999994</v>
      </c>
      <c r="H23" s="17" t="s">
        <v>207</v>
      </c>
      <c r="I23" s="17" t="s">
        <v>208</v>
      </c>
    </row>
    <row r="24" spans="1:9">
      <c r="A24" t="s">
        <v>209</v>
      </c>
      <c r="B24" t="s">
        <v>175</v>
      </c>
      <c r="C24" t="s">
        <v>37</v>
      </c>
      <c r="D24" t="s">
        <v>210</v>
      </c>
      <c r="E24">
        <v>4</v>
      </c>
      <c r="F24">
        <v>35.9</v>
      </c>
      <c r="G24">
        <f t="shared" si="0"/>
        <v>143.6</v>
      </c>
      <c r="H24" s="17" t="s">
        <v>211</v>
      </c>
      <c r="I24" s="17" t="s">
        <v>212</v>
      </c>
    </row>
    <row r="25" spans="1:9">
      <c r="A25" t="s">
        <v>213</v>
      </c>
      <c r="B25" t="s">
        <v>175</v>
      </c>
      <c r="C25" t="s">
        <v>37</v>
      </c>
      <c r="D25" t="s">
        <v>214</v>
      </c>
      <c r="E25">
        <v>5</v>
      </c>
      <c r="F25">
        <v>13.99</v>
      </c>
      <c r="G25">
        <f t="shared" si="0"/>
        <v>69.95</v>
      </c>
      <c r="H25" s="17" t="s">
        <v>215</v>
      </c>
      <c r="I25" s="17" t="s">
        <v>216</v>
      </c>
    </row>
    <row r="26" spans="1:9">
      <c r="A26" t="s">
        <v>217</v>
      </c>
      <c r="B26" t="s">
        <v>175</v>
      </c>
      <c r="C26" t="s">
        <v>37</v>
      </c>
      <c r="D26" t="s">
        <v>218</v>
      </c>
      <c r="E26">
        <v>15</v>
      </c>
      <c r="F26">
        <v>15.59</v>
      </c>
      <c r="G26">
        <f t="shared" si="0"/>
        <v>233.85</v>
      </c>
      <c r="H26" s="17" t="s">
        <v>219</v>
      </c>
      <c r="I26" s="17" t="s">
        <v>220</v>
      </c>
    </row>
    <row r="27" spans="1:9">
      <c r="A27" t="s">
        <v>221</v>
      </c>
      <c r="B27" t="s">
        <v>175</v>
      </c>
      <c r="C27" t="s">
        <v>37</v>
      </c>
      <c r="D27" t="s">
        <v>222</v>
      </c>
      <c r="E27">
        <v>4</v>
      </c>
      <c r="F27">
        <v>9.99</v>
      </c>
      <c r="G27">
        <f t="shared" si="0"/>
        <v>39.96</v>
      </c>
      <c r="H27" s="17" t="s">
        <v>223</v>
      </c>
      <c r="I27" s="17" t="s">
        <v>224</v>
      </c>
    </row>
    <row r="28" spans="1:9">
      <c r="A28" t="s">
        <v>225</v>
      </c>
      <c r="B28" t="s">
        <v>175</v>
      </c>
      <c r="C28" t="s">
        <v>226</v>
      </c>
      <c r="D28" t="s">
        <v>227</v>
      </c>
      <c r="E28">
        <v>25</v>
      </c>
      <c r="F28">
        <v>9.5</v>
      </c>
      <c r="G28">
        <f t="shared" si="0"/>
        <v>237.5</v>
      </c>
      <c r="H28" s="28" t="s">
        <v>228</v>
      </c>
      <c r="I28" s="17" t="s">
        <v>229</v>
      </c>
    </row>
    <row r="29" spans="1:9">
      <c r="A29" t="s">
        <v>230</v>
      </c>
      <c r="B29" t="s">
        <v>175</v>
      </c>
      <c r="C29" t="s">
        <v>37</v>
      </c>
      <c r="D29" t="s">
        <v>218</v>
      </c>
      <c r="E29">
        <v>3</v>
      </c>
      <c r="F29">
        <v>21.99</v>
      </c>
      <c r="G29">
        <f t="shared" si="0"/>
        <v>65.97</v>
      </c>
      <c r="H29" s="17" t="s">
        <v>231</v>
      </c>
      <c r="I29" s="17" t="s">
        <v>232</v>
      </c>
    </row>
    <row r="30" spans="1:9">
      <c r="A30" t="s">
        <v>233</v>
      </c>
      <c r="B30" t="s">
        <v>175</v>
      </c>
      <c r="C30" t="s">
        <v>37</v>
      </c>
      <c r="D30" t="s">
        <v>218</v>
      </c>
      <c r="E30">
        <v>5</v>
      </c>
      <c r="F30">
        <v>8.99</v>
      </c>
      <c r="G30">
        <f t="shared" si="0"/>
        <v>44.95</v>
      </c>
      <c r="H30" s="17" t="s">
        <v>234</v>
      </c>
      <c r="I30" s="17" t="s">
        <v>235</v>
      </c>
    </row>
    <row r="31" spans="1:9">
      <c r="A31" t="s">
        <v>236</v>
      </c>
      <c r="B31" t="s">
        <v>175</v>
      </c>
      <c r="C31" t="s">
        <v>37</v>
      </c>
      <c r="D31" t="s">
        <v>237</v>
      </c>
      <c r="E31">
        <v>5</v>
      </c>
      <c r="F31">
        <v>6.99</v>
      </c>
      <c r="G31">
        <f t="shared" si="0"/>
        <v>34.950000000000003</v>
      </c>
      <c r="H31" s="17" t="s">
        <v>238</v>
      </c>
      <c r="I31" s="17" t="s">
        <v>239</v>
      </c>
    </row>
    <row r="32" spans="1:9">
      <c r="A32" t="s">
        <v>240</v>
      </c>
      <c r="B32" t="s">
        <v>175</v>
      </c>
      <c r="C32" t="s">
        <v>37</v>
      </c>
      <c r="D32" t="s">
        <v>222</v>
      </c>
      <c r="E32">
        <v>3</v>
      </c>
      <c r="F32">
        <v>20.99</v>
      </c>
      <c r="G32">
        <f t="shared" si="0"/>
        <v>62.97</v>
      </c>
      <c r="H32" s="17" t="s">
        <v>241</v>
      </c>
      <c r="I32" s="17" t="s">
        <v>242</v>
      </c>
    </row>
    <row r="33" spans="1:9">
      <c r="A33" t="s">
        <v>243</v>
      </c>
      <c r="B33" t="s">
        <v>175</v>
      </c>
      <c r="C33" t="s">
        <v>37</v>
      </c>
      <c r="D33" t="s">
        <v>222</v>
      </c>
      <c r="E33">
        <v>3</v>
      </c>
      <c r="F33">
        <v>20.93</v>
      </c>
      <c r="G33">
        <f t="shared" si="0"/>
        <v>62.79</v>
      </c>
      <c r="H33" s="17" t="s">
        <v>244</v>
      </c>
      <c r="I33" s="17" t="s">
        <v>245</v>
      </c>
    </row>
    <row r="34" spans="1:9">
      <c r="A34" t="s">
        <v>246</v>
      </c>
      <c r="B34" t="s">
        <v>175</v>
      </c>
      <c r="C34" t="s">
        <v>37</v>
      </c>
      <c r="D34" t="s">
        <v>247</v>
      </c>
      <c r="E34">
        <v>5</v>
      </c>
      <c r="F34">
        <v>7.95</v>
      </c>
      <c r="G34">
        <f>PRODUCT(E34,F34)</f>
        <v>39.75</v>
      </c>
      <c r="H34" s="17" t="s">
        <v>248</v>
      </c>
      <c r="I34" s="17" t="s">
        <v>249</v>
      </c>
    </row>
    <row r="35" spans="1:9">
      <c r="A35" t="s">
        <v>250</v>
      </c>
      <c r="B35" t="s">
        <v>175</v>
      </c>
      <c r="C35" t="s">
        <v>37</v>
      </c>
      <c r="D35" t="s">
        <v>251</v>
      </c>
      <c r="E35">
        <v>1</v>
      </c>
      <c r="F35">
        <v>11.99</v>
      </c>
      <c r="G35">
        <v>11.99</v>
      </c>
      <c r="H35" s="17" t="s">
        <v>252</v>
      </c>
      <c r="I35" s="17" t="s">
        <v>253</v>
      </c>
    </row>
    <row r="36" spans="1:9">
      <c r="A36" t="s">
        <v>254</v>
      </c>
      <c r="B36" t="s">
        <v>175</v>
      </c>
      <c r="C36" t="s">
        <v>37</v>
      </c>
      <c r="D36" t="s">
        <v>251</v>
      </c>
      <c r="E36">
        <v>1</v>
      </c>
      <c r="F36">
        <v>7.49</v>
      </c>
      <c r="G36">
        <v>7.49</v>
      </c>
      <c r="H36" s="17" t="s">
        <v>255</v>
      </c>
      <c r="I36" s="17" t="s">
        <v>256</v>
      </c>
    </row>
    <row r="37" spans="1:9">
      <c r="A37" t="s">
        <v>257</v>
      </c>
      <c r="B37" t="s">
        <v>175</v>
      </c>
      <c r="C37" t="s">
        <v>37</v>
      </c>
      <c r="D37" t="s">
        <v>258</v>
      </c>
      <c r="E37">
        <v>1</v>
      </c>
      <c r="F37">
        <v>9.99</v>
      </c>
      <c r="G37">
        <v>9.99</v>
      </c>
      <c r="H37" s="17" t="s">
        <v>259</v>
      </c>
      <c r="I37" s="17" t="s">
        <v>260</v>
      </c>
    </row>
    <row r="38" spans="1:9" ht="32.1" customHeight="1">
      <c r="A38" t="s">
        <v>261</v>
      </c>
      <c r="B38" t="s">
        <v>175</v>
      </c>
      <c r="C38" t="s">
        <v>262</v>
      </c>
      <c r="D38" t="s">
        <v>263</v>
      </c>
      <c r="E38">
        <v>5</v>
      </c>
      <c r="F38">
        <v>26.99</v>
      </c>
      <c r="G38">
        <f>PRODUCT(E38,F38)</f>
        <v>134.94999999999999</v>
      </c>
      <c r="H38" s="17" t="s">
        <v>264</v>
      </c>
      <c r="I38" s="30" t="s">
        <v>265</v>
      </c>
    </row>
    <row r="39" spans="1:9" ht="32.1" customHeight="1">
      <c r="A39" t="s">
        <v>266</v>
      </c>
      <c r="B39" t="s">
        <v>175</v>
      </c>
      <c r="C39" t="s">
        <v>262</v>
      </c>
      <c r="D39" t="s">
        <v>263</v>
      </c>
      <c r="E39">
        <v>5</v>
      </c>
      <c r="F39">
        <v>24.99</v>
      </c>
      <c r="G39">
        <f>PRODUCT(E39,F39)</f>
        <v>124.94999999999999</v>
      </c>
      <c r="H39" s="17" t="s">
        <v>267</v>
      </c>
      <c r="I39" s="30" t="s">
        <v>268</v>
      </c>
    </row>
    <row r="40" spans="1:9">
      <c r="A40" t="s">
        <v>269</v>
      </c>
      <c r="B40" t="s">
        <v>175</v>
      </c>
      <c r="C40" t="s">
        <v>262</v>
      </c>
      <c r="D40" t="s">
        <v>263</v>
      </c>
      <c r="E40">
        <v>5</v>
      </c>
      <c r="F40">
        <v>22.99</v>
      </c>
      <c r="G40">
        <f>PRODUCT(E40,F40)</f>
        <v>114.94999999999999</v>
      </c>
      <c r="H40" s="17" t="s">
        <v>270</v>
      </c>
      <c r="I40" s="17" t="s">
        <v>271</v>
      </c>
    </row>
    <row r="41" spans="1:9" ht="32.1" customHeight="1">
      <c r="A41" t="s">
        <v>272</v>
      </c>
      <c r="B41" t="s">
        <v>175</v>
      </c>
      <c r="C41" t="s">
        <v>262</v>
      </c>
      <c r="D41" t="s">
        <v>263</v>
      </c>
      <c r="E41">
        <v>5</v>
      </c>
      <c r="F41">
        <v>22.99</v>
      </c>
      <c r="G41">
        <f>PRODUCT(E41,F41)</f>
        <v>114.94999999999999</v>
      </c>
      <c r="H41" s="17" t="s">
        <v>273</v>
      </c>
      <c r="I41" s="30" t="s">
        <v>274</v>
      </c>
    </row>
    <row r="42" spans="1:9" ht="32.1" customHeight="1">
      <c r="A42" t="s">
        <v>275</v>
      </c>
      <c r="B42" t="s">
        <v>175</v>
      </c>
      <c r="C42" t="s">
        <v>37</v>
      </c>
      <c r="D42" t="s">
        <v>276</v>
      </c>
      <c r="E42">
        <v>1</v>
      </c>
      <c r="F42">
        <v>25.99</v>
      </c>
      <c r="G42">
        <v>25.99</v>
      </c>
      <c r="H42" s="17" t="s">
        <v>277</v>
      </c>
      <c r="I42" s="30" t="s">
        <v>278</v>
      </c>
    </row>
    <row r="43" spans="1:9">
      <c r="H43" s="17"/>
    </row>
    <row r="44" spans="1:9">
      <c r="A44" t="s">
        <v>279</v>
      </c>
      <c r="B44" t="s">
        <v>175</v>
      </c>
      <c r="C44" t="s">
        <v>280</v>
      </c>
      <c r="D44" t="s">
        <v>281</v>
      </c>
      <c r="E44">
        <v>1</v>
      </c>
      <c r="F44">
        <v>75</v>
      </c>
      <c r="G44">
        <v>75</v>
      </c>
      <c r="H44" s="17" t="s">
        <v>282</v>
      </c>
      <c r="I44" s="17" t="s">
        <v>283</v>
      </c>
    </row>
    <row r="45" spans="1:9">
      <c r="A45" t="s">
        <v>284</v>
      </c>
      <c r="B45" t="s">
        <v>175</v>
      </c>
      <c r="C45" t="s">
        <v>280</v>
      </c>
      <c r="D45" t="s">
        <v>285</v>
      </c>
      <c r="E45">
        <v>1</v>
      </c>
      <c r="F45">
        <v>87.99</v>
      </c>
      <c r="G45">
        <v>87.99</v>
      </c>
      <c r="H45" s="17" t="s">
        <v>286</v>
      </c>
      <c r="I45" s="17" t="s">
        <v>287</v>
      </c>
    </row>
    <row r="46" spans="1:9">
      <c r="G46" s="9"/>
    </row>
    <row r="49" spans="1:15">
      <c r="A49" s="14"/>
    </row>
    <row r="50" spans="1:15">
      <c r="A50" t="s">
        <v>288</v>
      </c>
      <c r="B50" t="s">
        <v>175</v>
      </c>
      <c r="C50" t="s">
        <v>289</v>
      </c>
      <c r="D50" t="s">
        <v>290</v>
      </c>
      <c r="E50">
        <v>5</v>
      </c>
      <c r="F50">
        <v>9.99</v>
      </c>
      <c r="G50">
        <f t="shared" ref="G50:G61" si="1">PRODUCT(E50:F50)</f>
        <v>49.95</v>
      </c>
      <c r="H50" s="17" t="s">
        <v>291</v>
      </c>
      <c r="I50" s="17" t="s">
        <v>292</v>
      </c>
      <c r="J50" s="7"/>
      <c r="K50" s="9"/>
      <c r="L50" s="17"/>
      <c r="M50" s="17"/>
      <c r="O50" s="9"/>
    </row>
    <row r="51" spans="1:15">
      <c r="A51" t="s">
        <v>293</v>
      </c>
      <c r="B51" t="s">
        <v>175</v>
      </c>
      <c r="C51" t="s">
        <v>289</v>
      </c>
      <c r="D51" t="s">
        <v>294</v>
      </c>
      <c r="E51">
        <v>5</v>
      </c>
      <c r="F51">
        <v>9.99</v>
      </c>
      <c r="G51">
        <f t="shared" si="1"/>
        <v>49.95</v>
      </c>
      <c r="H51" s="17" t="s">
        <v>295</v>
      </c>
      <c r="I51" s="17" t="s">
        <v>296</v>
      </c>
      <c r="J51" s="7"/>
      <c r="K51" s="9"/>
      <c r="L51" s="17"/>
      <c r="M51" s="17"/>
      <c r="O51" s="9"/>
    </row>
    <row r="52" spans="1:15">
      <c r="A52" t="s">
        <v>297</v>
      </c>
      <c r="B52" t="s">
        <v>29</v>
      </c>
      <c r="C52" t="s">
        <v>289</v>
      </c>
      <c r="D52" t="s">
        <v>298</v>
      </c>
      <c r="E52">
        <v>10</v>
      </c>
      <c r="F52">
        <v>63.35</v>
      </c>
      <c r="G52">
        <f t="shared" si="1"/>
        <v>633.5</v>
      </c>
      <c r="H52" s="17" t="s">
        <v>299</v>
      </c>
      <c r="I52" s="17" t="s">
        <v>300</v>
      </c>
    </row>
    <row r="53" spans="1:15">
      <c r="A53" t="s">
        <v>301</v>
      </c>
      <c r="B53" t="s">
        <v>29</v>
      </c>
      <c r="C53" t="s">
        <v>302</v>
      </c>
      <c r="D53" t="s">
        <v>303</v>
      </c>
      <c r="E53">
        <v>10</v>
      </c>
      <c r="F53">
        <v>17.95</v>
      </c>
      <c r="G53">
        <f t="shared" si="1"/>
        <v>179.5</v>
      </c>
      <c r="H53" s="17" t="s">
        <v>304</v>
      </c>
      <c r="I53" s="17" t="s">
        <v>305</v>
      </c>
    </row>
    <row r="54" spans="1:15">
      <c r="A54" t="s">
        <v>306</v>
      </c>
      <c r="B54" t="s">
        <v>175</v>
      </c>
      <c r="C54" t="s">
        <v>307</v>
      </c>
      <c r="D54" t="s">
        <v>308</v>
      </c>
      <c r="E54">
        <v>10</v>
      </c>
      <c r="F54">
        <v>14.95</v>
      </c>
      <c r="G54">
        <f t="shared" si="1"/>
        <v>149.5</v>
      </c>
      <c r="H54" s="17" t="s">
        <v>309</v>
      </c>
      <c r="I54" s="17" t="s">
        <v>305</v>
      </c>
    </row>
    <row r="55" spans="1:15">
      <c r="A55" t="s">
        <v>310</v>
      </c>
      <c r="B55" t="s">
        <v>175</v>
      </c>
      <c r="C55" t="s">
        <v>289</v>
      </c>
      <c r="D55" t="s">
        <v>311</v>
      </c>
      <c r="E55">
        <v>10</v>
      </c>
      <c r="F55">
        <v>18.989999999999998</v>
      </c>
      <c r="G55">
        <f t="shared" si="1"/>
        <v>189.89999999999998</v>
      </c>
      <c r="H55" s="17" t="s">
        <v>312</v>
      </c>
      <c r="I55" s="17" t="s">
        <v>305</v>
      </c>
    </row>
    <row r="56" spans="1:15">
      <c r="A56" t="s">
        <v>313</v>
      </c>
      <c r="B56" t="s">
        <v>175</v>
      </c>
      <c r="C56" t="s">
        <v>289</v>
      </c>
      <c r="D56" t="s">
        <v>314</v>
      </c>
      <c r="E56">
        <v>10</v>
      </c>
      <c r="F56">
        <v>7.49</v>
      </c>
      <c r="G56">
        <f t="shared" si="1"/>
        <v>74.900000000000006</v>
      </c>
      <c r="H56" s="17" t="s">
        <v>315</v>
      </c>
      <c r="I56" s="17" t="s">
        <v>305</v>
      </c>
    </row>
    <row r="57" spans="1:15">
      <c r="A57" t="s">
        <v>316</v>
      </c>
      <c r="B57" t="s">
        <v>29</v>
      </c>
      <c r="C57" t="s">
        <v>289</v>
      </c>
      <c r="D57" t="s">
        <v>317</v>
      </c>
      <c r="E57">
        <v>10</v>
      </c>
      <c r="F57">
        <v>66.989999999999995</v>
      </c>
      <c r="G57">
        <f t="shared" si="1"/>
        <v>669.9</v>
      </c>
      <c r="H57" s="17" t="s">
        <v>318</v>
      </c>
      <c r="I57" s="17" t="s">
        <v>305</v>
      </c>
    </row>
    <row r="58" spans="1:15">
      <c r="A58" t="s">
        <v>319</v>
      </c>
      <c r="B58" t="s">
        <v>29</v>
      </c>
      <c r="C58" t="s">
        <v>37</v>
      </c>
      <c r="D58" t="s">
        <v>320</v>
      </c>
      <c r="E58">
        <v>10</v>
      </c>
      <c r="F58">
        <v>26.99</v>
      </c>
      <c r="G58">
        <f t="shared" si="1"/>
        <v>269.89999999999998</v>
      </c>
      <c r="H58" s="17" t="s">
        <v>321</v>
      </c>
      <c r="I58" s="17" t="s">
        <v>305</v>
      </c>
    </row>
    <row r="59" spans="1:15">
      <c r="A59" t="s">
        <v>322</v>
      </c>
      <c r="B59" t="s">
        <v>175</v>
      </c>
      <c r="C59" t="s">
        <v>37</v>
      </c>
      <c r="D59" t="s">
        <v>323</v>
      </c>
      <c r="E59">
        <v>10</v>
      </c>
      <c r="F59">
        <v>7.99</v>
      </c>
      <c r="G59">
        <f t="shared" si="1"/>
        <v>79.900000000000006</v>
      </c>
      <c r="H59" s="17" t="s">
        <v>324</v>
      </c>
      <c r="I59" s="17" t="s">
        <v>325</v>
      </c>
    </row>
    <row r="60" spans="1:15">
      <c r="A60" t="s">
        <v>326</v>
      </c>
      <c r="B60" t="s">
        <v>175</v>
      </c>
      <c r="C60" t="s">
        <v>37</v>
      </c>
      <c r="D60" t="s">
        <v>327</v>
      </c>
      <c r="E60">
        <v>10</v>
      </c>
      <c r="F60">
        <v>8.99</v>
      </c>
      <c r="G60">
        <f t="shared" si="1"/>
        <v>89.9</v>
      </c>
      <c r="H60" s="17" t="s">
        <v>328</v>
      </c>
      <c r="I60" s="17" t="s">
        <v>329</v>
      </c>
    </row>
    <row r="61" spans="1:15">
      <c r="A61" t="s">
        <v>330</v>
      </c>
      <c r="B61" t="s">
        <v>175</v>
      </c>
      <c r="C61" t="s">
        <v>37</v>
      </c>
      <c r="D61" t="s">
        <v>331</v>
      </c>
      <c r="E61">
        <v>10</v>
      </c>
      <c r="F61">
        <v>12.95</v>
      </c>
      <c r="G61">
        <f t="shared" si="1"/>
        <v>129.5</v>
      </c>
      <c r="H61" s="17" t="s">
        <v>332</v>
      </c>
      <c r="I61" s="17" t="s">
        <v>333</v>
      </c>
    </row>
    <row r="62" spans="1:15">
      <c r="H62" s="17"/>
    </row>
    <row r="63" spans="1:15">
      <c r="A63" t="s">
        <v>334</v>
      </c>
      <c r="B63" t="s">
        <v>175</v>
      </c>
      <c r="C63" t="s">
        <v>37</v>
      </c>
      <c r="D63" t="s">
        <v>335</v>
      </c>
      <c r="E63">
        <v>2</v>
      </c>
      <c r="F63">
        <v>10.29</v>
      </c>
      <c r="G63">
        <f>PRODUCT(E63:F63)</f>
        <v>20.58</v>
      </c>
      <c r="H63" s="17" t="s">
        <v>336</v>
      </c>
    </row>
    <row r="64" spans="1:15">
      <c r="A64" t="s">
        <v>337</v>
      </c>
      <c r="B64" t="s">
        <v>175</v>
      </c>
      <c r="C64" t="s">
        <v>37</v>
      </c>
      <c r="D64" t="s">
        <v>338</v>
      </c>
      <c r="E64">
        <v>2</v>
      </c>
      <c r="F64">
        <v>6.99</v>
      </c>
      <c r="G64">
        <f>PRODUCT(E64:F64)</f>
        <v>13.98</v>
      </c>
      <c r="H64" s="17" t="s">
        <v>339</v>
      </c>
    </row>
    <row r="65" spans="1:8">
      <c r="A65" t="s">
        <v>340</v>
      </c>
      <c r="B65" t="s">
        <v>29</v>
      </c>
      <c r="C65" t="s">
        <v>37</v>
      </c>
      <c r="D65" t="s">
        <v>341</v>
      </c>
      <c r="E65">
        <v>10</v>
      </c>
      <c r="F65">
        <v>19.79</v>
      </c>
      <c r="G65">
        <f>PRODUCT(E65:F65)</f>
        <v>197.89999999999998</v>
      </c>
      <c r="H65" s="17" t="s">
        <v>342</v>
      </c>
    </row>
    <row r="70" spans="1:8">
      <c r="G70">
        <f>SUM(G2:G65)</f>
        <v>17357.700000000012</v>
      </c>
    </row>
  </sheetData>
  <conditionalFormatting sqref="A50:A51">
    <cfRule type="duplicateValues" dxfId="6" priority="7"/>
  </conditionalFormatting>
  <conditionalFormatting sqref="C1">
    <cfRule type="cellIs" dxfId="5" priority="30" operator="equal">
      <formula>"mcmaster"</formula>
    </cfRule>
    <cfRule type="cellIs" dxfId="4" priority="31" operator="equal">
      <formula>"amazon"</formula>
    </cfRule>
    <cfRule type="cellIs" dxfId="3" priority="32" operator="equal">
      <formula>"mouser"</formula>
    </cfRule>
  </conditionalFormatting>
  <conditionalFormatting sqref="G50:G65">
    <cfRule type="cellIs" dxfId="2" priority="8" operator="equal">
      <formula>"mcmaster"</formula>
    </cfRule>
    <cfRule type="cellIs" dxfId="1" priority="9" operator="equal">
      <formula>"amazon"</formula>
    </cfRule>
    <cfRule type="cellIs" dxfId="0" priority="10" operator="equal">
      <formula>"mouser"</formula>
    </cfRule>
  </conditionalFormatting>
  <hyperlinks>
    <hyperlink ref="I2" r:id="rId1" xr:uid="{00000000-0004-0000-0200-000000000000}"/>
    <hyperlink ref="I3" r:id="rId2" xr:uid="{00000000-0004-0000-0200-000001000000}"/>
    <hyperlink ref="I7" r:id="rId3" xr:uid="{00000000-0004-0000-0200-000002000000}"/>
    <hyperlink ref="H10" r:id="rId4" xr:uid="{00000000-0004-0000-0200-000003000000}"/>
    <hyperlink ref="I11" r:id="rId5" xr:uid="{00000000-0004-0000-0200-000004000000}"/>
    <hyperlink ref="I12" r:id="rId6" xr:uid="{00000000-0004-0000-0200-000005000000}"/>
    <hyperlink ref="H15" r:id="rId7" xr:uid="{00000000-0004-0000-0200-000006000000}"/>
    <hyperlink ref="I15" r:id="rId8" xr:uid="{00000000-0004-0000-0200-000007000000}"/>
    <hyperlink ref="H16" r:id="rId9" xr:uid="{00000000-0004-0000-0200-000008000000}"/>
    <hyperlink ref="I16" r:id="rId10" xr:uid="{00000000-0004-0000-0200-000009000000}"/>
    <hyperlink ref="H17" r:id="rId11" xr:uid="{00000000-0004-0000-0200-00000A000000}"/>
    <hyperlink ref="I17" r:id="rId12" xr:uid="{00000000-0004-0000-0200-00000B000000}"/>
    <hyperlink ref="H18" r:id="rId13" xr:uid="{00000000-0004-0000-0200-00000C000000}"/>
    <hyperlink ref="I18" r:id="rId14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lywood%20sheets%2Epng&amp;parent=%2Fsites%2FMarineRoboticsGroup%2FShared%20Documents%2FOPS%2D1%20Operations%2FFall%202025%20Finances%2FFall%202025%20Bill%20Proof%2FMarine%20Robotics%20Group%20FY27%20Budget" xr:uid="{00000000-0004-0000-0200-00000D000000}"/>
    <hyperlink ref="H19" r:id="rId15" xr:uid="{00000000-0004-0000-0200-00000E000000}"/>
    <hyperlink ref="I19" r:id="rId16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Acrylic%20sheets%2Epng&amp;parent=%2Fsites%2FMarineRoboticsGroup%2FShared%20Documents%2FOPS%2D1%20Operations%2FFall%202025%20Finances%2FFall%202025%20Bill%20Proof%2FMarine%20Robotics%20Group%20FY27%20Budget" xr:uid="{00000000-0004-0000-0200-00000F000000}"/>
    <hyperlink ref="H20" r:id="rId17" xr:uid="{00000000-0004-0000-0200-000010000000}"/>
    <hyperlink ref="I20" r:id="rId18" xr:uid="{00000000-0004-0000-0200-000011000000}"/>
    <hyperlink ref="H22" r:id="rId19" display="https://www.amazon.com/Electronic-Components-Assortment-Transistors-Switching/dp/B0BXHNX1BJ/ref=pd_bxgy_d_sccl_1/131-0065994-2779010?pd_rd_w=UiC4g&amp;content-id=amzn1.sym.de9a1315-b9df-4c24-863c-7afcb2e4cc0a&amp;pf_rd_p=de9a1315-b9df-4c24-863c-7afcb2e4cc0a&amp;pf_rd_r=T6KA22QB5CZ1QRMQQH5E&amp;pd_rd_wg=1wr5d&amp;pd_rd_r=01084fa8-5187-4400-826a-c95a8486d7ba&amp;pd_rd_i=B0BXHNX1BJ&amp;psc=1" xr:uid="{00000000-0004-0000-0200-000012000000}"/>
    <hyperlink ref="I22" r:id="rId20" xr:uid="{00000000-0004-0000-0200-000013000000}"/>
    <hyperlink ref="H23" r:id="rId21" display="https://www.amazon.com/BOJACK-Electrolytic-Capacitor-Assortment-0-1uF%EF%BC%8D1000uF/dp/B07PBQXQNQ/ref=pd_bxgy_d_sccl_1/131-0065994-2779010?pd_rd_w=0XRwa&amp;content-id=amzn1.sym.de9a1315-b9df-4c24-863c-7afcb2e4cc0a&amp;pf_rd_p=de9a1315-b9df-4c24-863c-7afcb2e4cc0a&amp;pf_rd_r=3GBDM4J7FSXAJFG9Y84R&amp;pd_rd_wg=1jwFK&amp;pd_rd_r=07a908f5-0921-4339-8258-e5e17a238c2f&amp;pd_rd_i=B07PBQXQNQ&amp;psc=1" xr:uid="{00000000-0004-0000-0200-000014000000}"/>
    <hyperlink ref="I23" r:id="rId22" xr:uid="{00000000-0004-0000-0200-000015000000}"/>
    <hyperlink ref="H24" r:id="rId23" display="https://www.amazon.com/1206-Capacitors-Electronic-Components-Book/dp/B0B2ZSXLV9?crid=373O4CHUMKOHU&amp;dib=eyJ2IjoiMSJ9.KmCiHcgyo5Tw2AIwGztdmi_TJeiuKfnKhzk_OUXYOAZS4VPjHANAlxWZMPosTVXUU7psn_Mc9J2QdeRm1OMhlufOU-xJeQtePyf_IvQfkiYMvNCfQABLU4GgtkDdchyQ4bLBL-1N9yo4e-iZx2L8GI8wfCKd8dyAY76mdi8SF4gW2lhyrQy0Xc4Jke0yZkzYHHxQZ42L5GOXY0EoyZM6pZx84cLvMMoza0sG0G7QCyo.wlKBMFleQcbiHj-Pnq1egWVCBNYHeuHTakcqRY2rxxA&amp;dib_tag=se&amp;keywords=assorted%2Bsmd%2Bcomponents&amp;qid=1761946896&amp;sprefix=assorted%2Bsmd%2Bcomponent%2Caps%2C122&amp;sr=8-2&amp;th=1" xr:uid="{00000000-0004-0000-0200-000016000000}"/>
    <hyperlink ref="I24" r:id="rId24" xr:uid="{00000000-0004-0000-0200-000017000000}"/>
    <hyperlink ref="H25" r:id="rId25" display="https://www.amazon.com/EEEEE-Resistor-Compliant-resistors-Assortment/dp/B08BNDL6DS?crid=EJDGB8SNRXMO&amp;dib=eyJ2IjoiMSJ9.AWTb0VWj_VeGON_MhSkmP2fSaYvP2_Uwa1UvT8hlJ5RDsN5xlpBl-8Rj2cc8R8Y-81eWZt49blUAyWhB-c5eVgXDIYW2tfLObMRy4nzzXkw0JKbUk5DYDd8_R-oR_KUywcLLAXCydqhCskhlC018HKuxTH_BbYlLuf7krhtZBXeplM5Kj6jdinnDdUedkQAK5AUxMxu5I0pTNY3ZLIyDteqZ2QbIj_ZJWVrl5mT-eNs.DpLJqYY_PxaP6_aqJ_2F4szNCJrEfeas5GdY0WdfLcg&amp;dib_tag=se&amp;keywords=assorted+through+hole+components&amp;qid=1761946939&amp;sprefix=assorted+through+hole+components%2Caps%2C89&amp;sr=8-3" xr:uid="{00000000-0004-0000-0200-000018000000}"/>
    <hyperlink ref="I25" r:id="rId26" xr:uid="{00000000-0004-0000-0200-000019000000}"/>
    <hyperlink ref="H26" r:id="rId27" display="https://www.amazon.com/Amass-Bullet-Connector-Upgrated-Sheath/dp/B07Y37X6L7?crid=32T0FA0SHTXQI&amp;dib=eyJ2IjoiMSJ9.tWcrhNH0puUssHPwcLXvKKwoqV64fzQB95qDEx86i4lj6IjfcQ-ObC-sB5k-Tpn2sH6AAjIaGJxmt2fs42lOzVLXkf7EY8tNEdTofDuoyQ4oSjETiE-IYZG-wAS9ExX4UNr_3jtpcLiKwZSdFZcbB-Z01Prkk6t2CJ3rkmEcOjCM7E14QXhde2Ga9BT-GL4cYBBW4Ee_FhXeOIyHV_NGu40Rus5oxK3ekiCtBk253O2AtlpH1ll8DoxnZtkgAyjq2VLER4CMp5yhxNcfuu8neKFfmBp7621sekp3uteEXng.YLCpzWnJRVE_rYmhDYnqCWqb_Ar-d9i-TKmyZlNfQ_c&amp;dib_tag=se&amp;keywords=xt%2Bpower%2Bconnectors&amp;qid=1761947287&amp;sprefix=xt%2Bpower%2Bconn%2Caps%2C124&amp;sr=8-5&amp;th=1" xr:uid="{00000000-0004-0000-0200-00001A000000}"/>
    <hyperlink ref="I26" r:id="rId28" xr:uid="{00000000-0004-0000-0200-00001B000000}"/>
    <hyperlink ref="H27" r:id="rId29" display="https://www.amazon.com/Taiss-Connector-Housing-Connectors-F-066-580PCS/dp/B0BHT1FQGY?crid=2H0U3QKMUCZG2&amp;dib=eyJ2IjoiMSJ9.VHOOS5WzNc_wO_nPTHAYnyLn0MS6G-tZWbt88Lb5TS8iGFYRPsWLRz51HH2yeSB8WeUuDpDnuguyzKQszw81watuPD4dke4lYM557367fZhG1OwsE3v_Z9mzZijYbX_AMXklqSZbuABOmHUqF3uBmsEjDINgoJrZXzxAXdw3SnMmKyrAxFlq8wio6OmBez0oNymYAvbM0GAm1SGf1423RW80ISwtHXjoKmpzn1OzJZ-73ATA1GvBHvsutwpr2m1JrGYYPzkTn_GkMeyxZXNv6i_9xu_-Zu2Z34_gkbz7P-c.NUridlgTcDM3G9-8D2G_lgXcABCGO0qDKQEbLvfP1UE&amp;dib_tag=se&amp;keywords=jst%2Bconnector&amp;qid=1761947342&amp;sprefix=jst%2Bconn%2Caps%2C144&amp;sr=8-10&amp;th=1" xr:uid="{00000000-0004-0000-0200-00001C000000}"/>
    <hyperlink ref="I27" r:id="rId30" xr:uid="{00000000-0004-0000-0200-00001D000000}"/>
    <hyperlink ref="H28" r:id="rId31" xr:uid="{00000000-0004-0000-0200-00001E000000}"/>
    <hyperlink ref="I28" r:id="rId32" xr:uid="{00000000-0004-0000-0200-00001F000000}"/>
    <hyperlink ref="H29" r:id="rId33" xr:uid="{00000000-0004-0000-0200-000020000000}"/>
    <hyperlink ref="I29" r:id="rId34" xr:uid="{00000000-0004-0000-0200-000021000000}"/>
    <hyperlink ref="H30" r:id="rId35" xr:uid="{00000000-0004-0000-0200-000022000000}"/>
    <hyperlink ref="I30" r:id="rId36" xr:uid="{00000000-0004-0000-0200-000023000000}"/>
    <hyperlink ref="H31" r:id="rId37" xr:uid="{00000000-0004-0000-0200-000024000000}"/>
    <hyperlink ref="I31" r:id="rId38" xr:uid="{00000000-0004-0000-0200-000025000000}"/>
    <hyperlink ref="H32" r:id="rId39" display="https://www.amazon.com/Kidisoii-Connector-Premium-Pre-Crimped-XH-MF-Kit/dp/B0CKZD8KJR/ref=sr_1_6?crid=238TQMWP4ZLQJ&amp;dib=eyJ2IjoiMSJ9.PZxAWIJ4RaQWYQu380xy5IQIwiC_SDK_trNnUz5WgXopsyBv7KphBYSZwkK0lG0Q_950fSa_-bXCXonoE8zlOacoffkU4wTnIWEVo-OX5B3YXGnvD4c5Rs3LzYMQUyp5lxrAIgCC2Yd5kSlinQJfj6z8qQ5-9zvZ2dV_TFx3R8ZufwU70wZ1dCmQznW-VEN-px54fq5lR84b35QR7_BC2FJP-J4bj8E4C8AzphHq_TY.hf1T8z_y3Hf6lB31vrddKZKSzuECLMl5sYPHSEwdg2E&amp;dib_tag=se&amp;keywords=jst%2Bxh%2Bmale%2Bfemale%2Bconnector%2Bkit&amp;qid=1762359276&amp;sprefix=jst%2Bxh%2Bmale%2Bfemale%2Bconnector%2Bkit%2Caps%2C97&amp;sr=8-6&amp;th=1" xr:uid="{00000000-0004-0000-0200-000026000000}"/>
    <hyperlink ref="I32" r:id="rId40" xr:uid="{00000000-0004-0000-0200-000027000000}"/>
    <hyperlink ref="H33" r:id="rId41" display="https://www.amazon.com/Glarks-Perfectly-Compatible-Connector-Assortment/dp/B07CTKD7P4/ref=sr_1_3?crid=2B9W6QC6YGIOR&amp;dib=eyJ2IjoiMSJ9.9Tr-VL_JsKVV0UzHK5Ts4HOhTlSW3dlKTJNqlLmNtoYNIXNSDgkzRtSS2rL5FI3bCX6tGIC2l41NJGIcBW7uLfv11GMpMLnZnis3cNPU_-u9hcIdHoglShLRWK7fSQJernayM91fpqKMrY2vU8_hLzpNmxbFRgfSHaw04gKCnDUFmeNVugFXuVdGRErgv-sQbqrHBYtqscUNwoQPGSIrAqXmx13owNnMr8c0sAk2puA.GhRIrik3zp0OUyQVyWO0iWnJeJdp_o7nf25nymKa8Zo&amp;dib_tag=se&amp;keywords=jst+male+female+connector+kit&amp;qid=1762359452&amp;sprefix=jst+male+female+%2Caps%2C104&amp;sr=8-3" xr:uid="{00000000-0004-0000-0200-000028000000}"/>
    <hyperlink ref="I33" r:id="rId42" xr:uid="{00000000-0004-0000-0200-000029000000}"/>
    <hyperlink ref="H34" r:id="rId43" display="https://www.amazon.com/gp/aw/d/B07B53LNGX/?_encoding=UTF8&amp;pd_rd_plhdr=t&amp;aaxitk=091b2da687e8b5313966ff9e19230389&amp;hsa_cr_id=7422912750601&amp;qid=1762360135&amp;sr=1-2-9e67e56a-6f64-441f-a281-df67fc737124&amp;ref_=sbx_s_sparkle_sbtcd_asin_1_title&amp;pd_rd_w=eKuVf&amp;content-id=amzn1.sym.9f2b2b9e-47e9-4764-a4dc-2be2f6fca36d%253Aamzn1.sym.9f2b2b9e-47e9-4764-a4dc-2be2f6fca36d&amp;pf_rd_p=9f2b2b9e-47e9-4764-a4dc-2be2f6fca36d&amp;pf_rd_r=0R1D2R1TDJM5ABB06VXX&amp;pd_rd_wg=DhXqp&amp;pd_rd_r=7b5ffcf1-be54-44ec-97c5-79a4a1405eeb" xr:uid="{00000000-0004-0000-0200-00002A000000}"/>
    <hyperlink ref="I34" r:id="rId44" xr:uid="{00000000-0004-0000-0200-00002B000000}"/>
    <hyperlink ref="H35" r:id="rId45" xr:uid="{00000000-0004-0000-0200-00002C000000}"/>
    <hyperlink ref="I35" r:id="rId46" xr:uid="{00000000-0004-0000-0200-00002D000000}"/>
    <hyperlink ref="H36" r:id="rId47" xr:uid="{00000000-0004-0000-0200-00002E000000}"/>
    <hyperlink ref="I36" r:id="rId48" xr:uid="{00000000-0004-0000-0200-00002F000000}"/>
    <hyperlink ref="H37" r:id="rId49" xr:uid="{00000000-0004-0000-0200-000030000000}"/>
    <hyperlink ref="I37" r:id="rId50" xr:uid="{00000000-0004-0000-0200-000031000000}"/>
    <hyperlink ref="H38" r:id="rId51" xr:uid="{00000000-0004-0000-0200-000032000000}"/>
    <hyperlink ref="I38" r:id="rId52" xr:uid="{00000000-0004-0000-0200-000033000000}"/>
    <hyperlink ref="H39" r:id="rId53" xr:uid="{00000000-0004-0000-0200-000034000000}"/>
    <hyperlink ref="I39" r:id="rId54" xr:uid="{00000000-0004-0000-0200-000035000000}"/>
    <hyperlink ref="H40" r:id="rId55" xr:uid="{00000000-0004-0000-0200-000036000000}"/>
    <hyperlink ref="I40" r:id="rId56" xr:uid="{00000000-0004-0000-0200-000037000000}"/>
    <hyperlink ref="H41" r:id="rId57" xr:uid="{00000000-0004-0000-0200-000038000000}"/>
    <hyperlink ref="I41" r:id="rId58" xr:uid="{00000000-0004-0000-0200-000039000000}"/>
    <hyperlink ref="H42" r:id="rId59" xr:uid="{00000000-0004-0000-0200-00003A000000}"/>
    <hyperlink ref="I42" r:id="rId60" xr:uid="{00000000-0004-0000-0200-00003B000000}"/>
    <hyperlink ref="H44" r:id="rId61" xr:uid="{00000000-0004-0000-0200-00003C000000}"/>
    <hyperlink ref="I44" r:id="rId62" xr:uid="{00000000-0004-0000-0200-00003D000000}"/>
    <hyperlink ref="H45" r:id="rId63" xr:uid="{00000000-0004-0000-0200-00003E000000}"/>
    <hyperlink ref="I45" r:id="rId64" xr:uid="{00000000-0004-0000-0200-00003F000000}"/>
    <hyperlink ref="H50" r:id="rId65" display="https://www.amazon.com/XT60PW-Female-Connector-Adapter-Battery/dp/B07VRLQ2C5?crid=2P5TPOHC6TILQ&amp;dib=eyJ2IjoiMSJ9.SUL80rmVSbwUU0GjVnFfqLQPf944UZeuaDAKBZdsPWtfm_u_MjbTboEDBT3y7YZt5WUm4OgllS2Gi3ZJmpq7uvq7-rDnGFMABVZ-p0fCgKDBBqpX0rsiEPI5t20nyHbTxthS1ipFNR5A-K5l3GA7kKca0omtKaZCnI6RaCV9X--X7yKcZJtYiKLuGvJtp74AGcidHRRhdZmg6QGhkuLuz8jlI-bHnzJk8Mnmn3TWxX6iZKeQSiSIWc2rGVzxp60iszeh-d8wMAGptbpLT30u5zanPtlNuWgeDuc_y43jgbo.gneig4jclFi8nP6LOZ3U0D25QLsI-1q2AUu1daWpgDQ&amp;dib_tag=se&amp;keywords=xt60+pw+m&amp;qid=1756319127&amp;sprefix=xt60+pw+m%2Caps%2C98&amp;sr=8-2" xr:uid="{00000000-0004-0000-0200-000040000000}"/>
    <hyperlink ref="I50" r:id="rId66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XT60PW%2Epng&amp;parent=%2Fsites%2FMarineRoboticsGroup%2FShared%20Documents%2FOPS%2D1%20Operations%2FFall%202025%20Finances%2FFall%202025%20Bill%20Proof%2FMarine%20Robotics%20Group%20FY27%20Budget" xr:uid="{00000000-0004-0000-0200-000041000000}"/>
    <hyperlink ref="H51" r:id="rId67" display="https://www.amazon.com/dp/B0DZ266X7P/ref=sspa_dk_detail_0?psc=1&amp;pd_rd_i=B0DZ266X7P&amp;pd_rd_w=azfNj&amp;content-id=amzn1.sym.7446a9d1-25fe-4460-b135-a60336bad2c9&amp;pf_rd_p=7446a9d1-25fe-4460-b135-a60336bad2c9&amp;pf_rd_r=B2HT7DA8D5YMPY86MMT4&amp;pd_rd_wg=p4pNd&amp;pd_rd_r=78d12a18-10a9-4c51-b028-566291847bf7&amp;sp_csd=d2lkZ2V0TmFtZT1zcF9kZXRhaWw" xr:uid="{00000000-0004-0000-0200-000042000000}"/>
    <hyperlink ref="I51" r:id="rId68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XT30PW%2Epng&amp;parent=%2Fsites%2FMarineRoboticsGroup%2FShared%20Documents%2FOPS%2D1%20Operations%2FFall%202025%20Finances%2FFall%202025%20Bill%20Proof%2FMarine%20Robotics%20Group%20FY27%20Budget" xr:uid="{00000000-0004-0000-0200-000043000000}"/>
    <hyperlink ref="H52" r:id="rId69" display="https://www.amazon.com/Raspberry-Model-2019-Quad-Bluetooth/dp/B07TC2BK1X?crid=29EX922BGYDYI&amp;dib=eyJ2IjoiMSJ9.HavuMzOx0pibLLpdWCmY09lLx1FUneD-7RHwdKXJCF5q3uo0ch21CiFIAoCU2IxrgQ8jX1MvqTXKadpBUHDyqdB5aB-LAwzn6S7dbVxe4Z71NNf3Ucvl05bQxti5I8Io4q5b6t4-tJ3tx0tHg_EscCnk__t0g0yOPO3AGjOdCvOBy99qKWJPrmRMv3rAfjCVwVipCp_kOj7q6-o8T53BS0ys2SoorXGOBpZoitkry-A.WQlTK-DSR80jCebFHKsZXheFkPEti5GkeRPqlRmwUg8&amp;dib_tag=se&amp;keywords=pi%2B4&amp;qid=1756321593&amp;sprefix=pi%2B4%2Caps%2C114&amp;sr=8-1&amp;th=1" xr:uid="{00000000-0004-0000-0200-000044000000}"/>
    <hyperlink ref="I52" r:id="rId70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Rapsberry%5FPi%5F4%2Epng&amp;parent=%2Fsites%2FMarineRoboticsGroup%2FShared%20Documents%2FOPS%2D1%20Operations%2FFall%202025%20Finances%2FFall%202025%20Bill%20Proof%2FMarine%20Robotics%20Group%20FY27%20Budget" xr:uid="{00000000-0004-0000-0200-000045000000}"/>
    <hyperlink ref="H53" r:id="rId71" xr:uid="{00000000-0004-0000-0200-000046000000}"/>
    <hyperlink ref="I53" r:id="rId72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xr:uid="{00000000-0004-0000-0200-000047000000}"/>
    <hyperlink ref="H54" r:id="rId73" xr:uid="{00000000-0004-0000-0200-000048000000}"/>
    <hyperlink ref="I54" r:id="rId74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xr:uid="{00000000-0004-0000-0200-000049000000}"/>
    <hyperlink ref="H55" r:id="rId75" xr:uid="{00000000-0004-0000-0200-00004A000000}"/>
    <hyperlink ref="I55" r:id="rId76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xr:uid="{00000000-0004-0000-0200-00004B000000}"/>
    <hyperlink ref="H56" r:id="rId77" display="https://www.amazon.com/Argzm-Notebook-1280x720p-Resolution-Streaming/dp/B0DKJ1W3VG?crid=1STYFBOC17KOH&amp;dib=eyJ2IjoiMSJ9.GbszRIWH8Tr0LB48qlQhzhYoZI_s-Zzd47dyXO-sY3sJQbqPeAlHZIAvcfgvPe0KY0Tp73i_AqjqAKzePXcgkGVMMcIKwPeX72NOwVPye56luXfgpES8UJxwldfhBuI5QLJbBV8HYPG8xCOLfJG2a7Ck8-8ZfTU01vp-zO_cyF_CYgNnLBFq2r37uhmiXPlbIVi3rPJXP8-ZY3t-FMADudxAN6Es0d_0l_FL9NZ-a3nsURLgA2cLtEquNiHGXP6YJV8wKucjiDAxAfB7hGI0x4aO797uAJSyOuDpKOXWysE_itoJmcO4RxlPryZEudJWPsnb8PkaBeX3a2ttEChB5c4NJm2x3wc_FcNoE1iNJoc.p6bh4nipJ0S-GnD1O-Atd93kvAyZ1PD_vfAVJNy7mXE&amp;dib_tag=se&amp;keywords=USB+Camera+Module+OV9726&amp;qid=1734376226&amp;s=electronics&amp;sprefix=usb+camera+module+ov9726+%2Celectronics%2C80&amp;sr=1-7" xr:uid="{00000000-0004-0000-0200-00004C000000}"/>
    <hyperlink ref="I56" r:id="rId78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xr:uid="{00000000-0004-0000-0200-00004D000000}"/>
    <hyperlink ref="H57" r:id="rId79" display="https://www.amazon.com/WayPonDEV-RPLIDAR-C1-Avoidance-Navigation/dp/B0CMTXV5RC?crid=3QALGJ7HYTRV0&amp;dib=eyJ2IjoiMSJ9.OwQ79Rp173M0tkZRP3OIqwi3_GCeM-vu2zOCRsVg9e3bpAyH-rvEK75Q2sSZ4paGt2cLE0WO8QqPGNH85vorkS_VywiaAk5h3-eGb71WsxPw_h4r8QqRW9VFw8BriY7CVHyPDs1muzoFNDfGMmIwfomyI7VtC1-1WBJWPR6JhcXkE4LYgJbIXbm1ZobYnf2R8OImb0yFz1sp1CIqOZYoDPzF4aQzRLUBaZ08m_AHtUo.sTbQSbmfiHDhbFEdGBXJLpLuv4oS2D99yRkl9tCyzXY&amp;dib_tag=se&amp;keywords=slamtec+lidar+c1&amp;qid=1738007442&amp;s=electronics&amp;sprefix=slamtec+lidar+c1%2Celectronics%2C82&amp;sr=1-3" xr:uid="{00000000-0004-0000-0200-00004E000000}"/>
    <hyperlink ref="I57" r:id="rId80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xr:uid="{00000000-0004-0000-0200-00004F000000}"/>
    <hyperlink ref="H58" r:id="rId81" xr:uid="{00000000-0004-0000-0200-000050000000}"/>
    <hyperlink ref="I58" r:id="rId82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Pololu%20Regulator%2Epng&amp;parent=%2Fsites%2FMarineRoboticsGroup%2FShared%20Documents%2FOPS%2D1%20Operations%2FFall%202025%20Finances%2FFall%202025%20Bill%20Proof%2FMarine%20Robotics%20Group%20FY27%20Budget" xr:uid="{00000000-0004-0000-0200-000051000000}"/>
    <hyperlink ref="H59" r:id="rId83" xr:uid="{00000000-0004-0000-0200-000052000000}"/>
    <hyperlink ref="I59" r:id="rId84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Toggle%5FSwitch%2Epng&amp;parent=%2Fsites%2FMarineRoboticsGroup%2FShared%20Documents%2FOPS%2D1%20Operations%2FFall%202025%20Finances%2FFall%202025%20Bill%20Proof%2FMarine%20Robotics%20Group%20FY27%20Budget" xr:uid="{00000000-0004-0000-0200-000053000000}"/>
    <hyperlink ref="H60" r:id="rId85" xr:uid="{00000000-0004-0000-0200-000054000000}"/>
    <hyperlink ref="I60" r:id="rId86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Antenna%2Epng&amp;parent=%2Fsites%2FMarineRoboticsGroup%2FShared%20Documents%2FOPS%2D1%20Operations%2FFall%202025%20Finances%2FFall%202025%20Bill%20Proof%2FMarine%20Robotics%20Group%20FY27%20Budget" xr:uid="{00000000-0004-0000-0200-000055000000}"/>
    <hyperlink ref="H61" r:id="rId87" xr:uid="{00000000-0004-0000-0200-000056000000}"/>
    <hyperlink ref="I61" r:id="rId88" display="https://gtvault.sharepoint.com/sites/MarineRoboticsGroup/Shared%20Documents/Forms/AllItems.aspx?viewid=fd287ec4%2D27e7%2D4522%2Da3ab%2Dc8258347670f&amp;ga=1&amp;id=%2Fsites%2FMarineRoboticsGroup%2FShared%20Documents%2FOPS%2D1%20Operations%2FFall%202025%20Finances%2FFall%202025%20Bill%20Proof%2FMarine%20Robotics%20Group%20FY27%20Budget%2FUSB%5FAntenna%5Fadapter%2Epng&amp;parent=%2Fsites%2FMarineRoboticsGroup%2FShared%20Documents%2FOPS%2D1%20Operations%2FFall%202025%20Finances%2FFall%202025%20Bill%20Proof%2FMarine%20Robotics%20Group%20FY27%20Budget" xr:uid="{00000000-0004-0000-0200-000057000000}"/>
    <hyperlink ref="H63" r:id="rId89" xr:uid="{00000000-0004-0000-0200-000058000000}"/>
    <hyperlink ref="H64" r:id="rId90" xr:uid="{00000000-0004-0000-0200-000059000000}"/>
    <hyperlink ref="H65" r:id="rId91" display="https://www.amazon.com/Amazon-Basics-microSDXC-Memory-Adapter/dp/B08TJZDJ4D/ref=sr_1_6?dib=eyJ2IjoiMSJ9.0xCMAlELkYzvhxN9CQLj65pQc7Ld-VZgB-_Tw83oI9f-xexdSPEJG51P9IesPzsWJ3mxuHEtdZsrnFdWuWCPf6BW_a2Cv5ahFWSJ4Tmd8T3vig0e4rIRNagnHQaS2dOnnhKWXTm_hxHNTQInW1ZXYvbPVyzbeo6B7gCahr_X4mH-AQhNtNO3gArfg95b5HGQ7ROBtY1mTWet6OBw5u9zBDyzKjXH8AVJc5o8nTahNyk.virBL9U5WK_ZTfwP7dnHudqcR52yI5eGGrwU7FV1KkU&amp;dib_tag=se&amp;keywords=256gb%2Bmicro%2Bsd%2Bcard&amp;qid=1758147036&amp;sr=8-6&amp;th=1" xr:uid="{00000000-0004-0000-0200-00005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39" workbookViewId="0"/>
  </sheetViews>
  <sheetFormatPr defaultColWidth="8.8554687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>
      <selection activeCell="A7" sqref="A7"/>
    </sheetView>
  </sheetViews>
  <sheetFormatPr defaultColWidth="8.85546875" defaultRowHeight="15"/>
  <sheetData>
    <row r="1" spans="1:3">
      <c r="A1" s="2" t="s">
        <v>343</v>
      </c>
      <c r="B1" s="1"/>
      <c r="C1" s="1" t="s">
        <v>344</v>
      </c>
    </row>
    <row r="2" spans="1:3">
      <c r="A2" s="3" t="s">
        <v>108</v>
      </c>
      <c r="C2" s="1" t="s">
        <v>345</v>
      </c>
    </row>
    <row r="3" spans="1:3">
      <c r="A3" s="4" t="s">
        <v>71</v>
      </c>
      <c r="C3" s="1" t="s">
        <v>346</v>
      </c>
    </row>
    <row r="4" spans="1:3">
      <c r="A4" s="3" t="s">
        <v>28</v>
      </c>
      <c r="C4" s="1" t="s">
        <v>347</v>
      </c>
    </row>
    <row r="5" spans="1:3">
      <c r="A5" s="3" t="s">
        <v>348</v>
      </c>
      <c r="C5" s="1" t="s">
        <v>349</v>
      </c>
    </row>
    <row r="6" spans="1:3">
      <c r="A6" s="3" t="s">
        <v>350</v>
      </c>
      <c r="C6" t="s">
        <v>351</v>
      </c>
    </row>
    <row r="7" spans="1:3">
      <c r="A7" s="3" t="s">
        <v>352</v>
      </c>
      <c r="C7" t="s">
        <v>353</v>
      </c>
    </row>
    <row r="8" spans="1:3">
      <c r="A8" s="3" t="s">
        <v>354</v>
      </c>
      <c r="C8" t="s">
        <v>355</v>
      </c>
    </row>
    <row r="9" spans="1:3">
      <c r="A9" s="21" t="s">
        <v>356</v>
      </c>
      <c r="C9" t="s">
        <v>357</v>
      </c>
    </row>
    <row r="10" spans="1:3">
      <c r="A10" t="s">
        <v>358</v>
      </c>
      <c r="C10" t="s">
        <v>359</v>
      </c>
    </row>
    <row r="11" spans="1:3">
      <c r="C11" t="s">
        <v>360</v>
      </c>
    </row>
    <row r="12" spans="1:3">
      <c r="C12" t="s">
        <v>29</v>
      </c>
    </row>
    <row r="13" spans="1:3">
      <c r="A13" s="5"/>
      <c r="B13" s="5"/>
      <c r="C13" s="5" t="s">
        <v>361</v>
      </c>
    </row>
    <row r="14" spans="1:3">
      <c r="C14" t="s">
        <v>362</v>
      </c>
    </row>
    <row r="15" spans="1:3">
      <c r="C15" t="s">
        <v>175</v>
      </c>
    </row>
    <row r="16" spans="1:3">
      <c r="C16" t="s">
        <v>363</v>
      </c>
    </row>
    <row r="17" spans="3:3">
      <c r="C17" t="s">
        <v>364</v>
      </c>
    </row>
    <row r="18" spans="3:3">
      <c r="C18" t="s">
        <v>365</v>
      </c>
    </row>
    <row r="19" spans="3:3">
      <c r="C19" t="s">
        <v>366</v>
      </c>
    </row>
    <row r="20" spans="3:3">
      <c r="C20" t="s">
        <v>149</v>
      </c>
    </row>
    <row r="21" spans="3:3">
      <c r="C21" t="s">
        <v>367</v>
      </c>
    </row>
    <row r="22" spans="3:3">
      <c r="C22" t="s">
        <v>154</v>
      </c>
    </row>
    <row r="23" spans="3:3">
      <c r="C23" t="s">
        <v>368</v>
      </c>
    </row>
    <row r="24" spans="3:3">
      <c r="C24" t="s">
        <v>369</v>
      </c>
    </row>
    <row r="25" spans="3:3">
      <c r="C25" t="s">
        <v>370</v>
      </c>
    </row>
    <row r="26" spans="3:3">
      <c r="C26" t="s">
        <v>371</v>
      </c>
    </row>
    <row r="27" spans="3:3">
      <c r="C27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pane ySplit="1" topLeftCell="A2" activePane="bottomLeft" state="frozen"/>
      <selection pane="bottomLeft" activeCell="I3" sqref="I3"/>
    </sheetView>
  </sheetViews>
  <sheetFormatPr defaultColWidth="8.85546875" defaultRowHeight="15"/>
  <cols>
    <col min="1" max="1" width="20" customWidth="1"/>
    <col min="2" max="2" width="15.42578125" customWidth="1"/>
    <col min="3" max="3" width="21.140625" customWidth="1"/>
    <col min="4" max="4" width="28.140625" customWidth="1"/>
    <col min="5" max="5" width="24.7109375" customWidth="1"/>
    <col min="6" max="6" width="18.42578125" customWidth="1"/>
    <col min="7" max="7" width="23" customWidth="1"/>
    <col min="8" max="8" width="17.42578125" customWidth="1"/>
    <col min="9" max="9" width="25.140625" customWidth="1"/>
  </cols>
  <sheetData>
    <row r="1" spans="1:9">
      <c r="A1" t="s">
        <v>373</v>
      </c>
      <c r="B1" t="s">
        <v>374</v>
      </c>
      <c r="C1" t="s">
        <v>375</v>
      </c>
      <c r="D1" t="s">
        <v>376</v>
      </c>
      <c r="E1" t="s">
        <v>7</v>
      </c>
      <c r="F1" t="s">
        <v>377</v>
      </c>
      <c r="G1" t="s">
        <v>378</v>
      </c>
      <c r="H1" t="s">
        <v>379</v>
      </c>
      <c r="I1" t="s">
        <v>380</v>
      </c>
    </row>
    <row r="2" spans="1:9">
      <c r="C2" t="s">
        <v>381</v>
      </c>
      <c r="D2" t="s">
        <v>381</v>
      </c>
      <c r="E2" t="s">
        <v>382</v>
      </c>
      <c r="F2" t="s">
        <v>383</v>
      </c>
      <c r="G2" t="s">
        <v>384</v>
      </c>
    </row>
    <row r="3" spans="1:9">
      <c r="B3" s="13">
        <v>45912</v>
      </c>
      <c r="C3" t="s">
        <v>385</v>
      </c>
      <c r="D3" t="s">
        <v>385</v>
      </c>
      <c r="E3" t="s">
        <v>386</v>
      </c>
      <c r="F3" t="s">
        <v>383</v>
      </c>
      <c r="G3" t="s">
        <v>384</v>
      </c>
      <c r="H3">
        <v>4967.16</v>
      </c>
      <c r="I3" s="17" t="s">
        <v>387</v>
      </c>
    </row>
    <row r="4" spans="1:9">
      <c r="C4" t="s">
        <v>388</v>
      </c>
      <c r="D4" t="s">
        <v>388</v>
      </c>
      <c r="E4" t="s">
        <v>389</v>
      </c>
      <c r="F4" t="s">
        <v>390</v>
      </c>
      <c r="G4" t="s">
        <v>391</v>
      </c>
      <c r="H4">
        <f>7.99+7.99+8.99</f>
        <v>24.97</v>
      </c>
    </row>
    <row r="5" spans="1:9">
      <c r="A5" t="s">
        <v>392</v>
      </c>
      <c r="C5" t="s">
        <v>385</v>
      </c>
      <c r="D5" t="s">
        <v>385</v>
      </c>
    </row>
  </sheetData>
  <dataValidations count="2">
    <dataValidation type="date" allowBlank="1" showInputMessage="1" showErrorMessage="1" sqref="B2:B33" xr:uid="{00000000-0002-0000-0500-000000000000}">
      <formula1>45839</formula1>
      <formula2>46203</formula2>
    </dataValidation>
    <dataValidation allowBlank="1" showInputMessage="1" showErrorMessage="1" sqref="B1:J1" xr:uid="{00000000-0002-0000-0500-000001000000}"/>
  </dataValidations>
  <hyperlinks>
    <hyperlink ref="I3" r:id="rId1" xr:uid="{00000000-0004-0000-0500-000000000000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pane ySplit="1" topLeftCell="A13" activePane="bottomLeft" state="frozen"/>
      <selection pane="bottomLeft" activeCell="F30" sqref="F30"/>
    </sheetView>
  </sheetViews>
  <sheetFormatPr defaultColWidth="8.85546875" defaultRowHeight="15"/>
  <cols>
    <col min="1" max="1" width="28.42578125" customWidth="1"/>
    <col min="2" max="2" width="16.85546875" customWidth="1"/>
    <col min="3" max="3" width="18.42578125" customWidth="1"/>
    <col min="4" max="4" width="16.85546875" customWidth="1"/>
    <col min="6" max="6" width="20.85546875" customWidth="1"/>
    <col min="7" max="7" width="22" customWidth="1"/>
  </cols>
  <sheetData>
    <row r="1" spans="1:9">
      <c r="A1" t="s">
        <v>376</v>
      </c>
      <c r="B1" t="s">
        <v>393</v>
      </c>
      <c r="C1" t="s">
        <v>391</v>
      </c>
      <c r="D1" t="s">
        <v>384</v>
      </c>
      <c r="E1" t="s">
        <v>394</v>
      </c>
      <c r="F1" t="s">
        <v>395</v>
      </c>
      <c r="G1" t="s">
        <v>396</v>
      </c>
    </row>
    <row r="2" spans="1:9">
      <c r="A2" t="s">
        <v>397</v>
      </c>
      <c r="B2" t="s">
        <v>398</v>
      </c>
      <c r="C2">
        <f>SUMIFS(
    TrackingTable[Amount],
    TrackingTable[Type], C$1,
    TrackingTable[Name], $A2
)</f>
        <v>0</v>
      </c>
      <c r="D2">
        <f>SUMIFS(
    TrackingTable[Amount],
    TrackingTable[Type], D$1,
    TrackingTable[Name], $A2
)</f>
        <v>0</v>
      </c>
      <c r="E2">
        <f t="shared" ref="E2:E21" si="0">D2-C2</f>
        <v>0</v>
      </c>
    </row>
    <row r="3" spans="1:9">
      <c r="A3" t="s">
        <v>399</v>
      </c>
      <c r="B3" t="s">
        <v>398</v>
      </c>
      <c r="C3">
        <f>SUMIFS(
    TrackingTable[Amount],
    TrackingTable[Type], C$1,
    TrackingTable[Name], $A3
)</f>
        <v>0</v>
      </c>
      <c r="D3">
        <f>SUMIFS(
    TrackingTable[Amount],
    TrackingTable[Type], D$1,
    TrackingTable[Name], $A3
)</f>
        <v>0</v>
      </c>
      <c r="E3">
        <f t="shared" si="0"/>
        <v>0</v>
      </c>
    </row>
    <row r="4" spans="1:9">
      <c r="A4" t="s">
        <v>400</v>
      </c>
      <c r="B4" t="s">
        <v>401</v>
      </c>
      <c r="C4">
        <f>SUMIFS(
    TrackingTable[Amount],
    TrackingTable[Type], C$1,
    TrackingTable[Name], $A4
)</f>
        <v>0</v>
      </c>
      <c r="D4">
        <f>SUMIFS(
    TrackingTable[Amount],
    TrackingTable[Type], D$1,
    TrackingTable[Name], $A4
)</f>
        <v>0</v>
      </c>
      <c r="E4">
        <f t="shared" si="0"/>
        <v>0</v>
      </c>
      <c r="I4" t="s">
        <v>402</v>
      </c>
    </row>
    <row r="5" spans="1:9">
      <c r="A5" t="s">
        <v>403</v>
      </c>
      <c r="B5" t="s">
        <v>404</v>
      </c>
      <c r="C5">
        <f>SUMIFS(
    TrackingTable[Amount],
    TrackingTable[Type], C$1,
    TrackingTable[Name], $A5
)</f>
        <v>0</v>
      </c>
      <c r="D5">
        <f>SUMIFS(
    TrackingTable[Amount],
    TrackingTable[Type], D$1,
    TrackingTable[Name], $A5
)</f>
        <v>0</v>
      </c>
      <c r="E5">
        <f t="shared" si="0"/>
        <v>0</v>
      </c>
      <c r="I5" t="s">
        <v>405</v>
      </c>
    </row>
    <row r="6" spans="1:9">
      <c r="A6" t="s">
        <v>406</v>
      </c>
      <c r="B6" t="s">
        <v>407</v>
      </c>
      <c r="C6">
        <f>SUMIFS(
    TrackingTable[Amount],
    TrackingTable[Type], C$1,
    TrackingTable[Name], $A6
)</f>
        <v>0</v>
      </c>
      <c r="D6">
        <f>SUMIFS(
    TrackingTable[Amount],
    TrackingTable[Type], D$1,
    TrackingTable[Name], $A6
)</f>
        <v>0</v>
      </c>
      <c r="E6">
        <f t="shared" si="0"/>
        <v>0</v>
      </c>
      <c r="I6" t="s">
        <v>408</v>
      </c>
    </row>
    <row r="7" spans="1:9">
      <c r="A7" t="s">
        <v>409</v>
      </c>
      <c r="B7" t="s">
        <v>410</v>
      </c>
      <c r="C7">
        <f>SUMIFS(
    TrackingTable[Amount],
    TrackingTable[Type], C$1,
    TrackingTable[Name], $A7
)</f>
        <v>0</v>
      </c>
      <c r="D7">
        <f>SUMIFS(
    TrackingTable[Amount],
    TrackingTable[Type], D$1,
    TrackingTable[Name], $A7
)</f>
        <v>0</v>
      </c>
      <c r="E7">
        <f t="shared" si="0"/>
        <v>0</v>
      </c>
      <c r="I7" t="s">
        <v>411</v>
      </c>
    </row>
    <row r="8" spans="1:9">
      <c r="A8" t="s">
        <v>412</v>
      </c>
      <c r="B8" t="s">
        <v>413</v>
      </c>
      <c r="C8">
        <f>SUMIFS(
    TrackingTable[Amount],
    TrackingTable[Type], C$1,
    TrackingTable[Name], $A8
)</f>
        <v>0</v>
      </c>
      <c r="D8">
        <f>SUMIFS(
    TrackingTable[Amount],
    TrackingTable[Type], D$1,
    TrackingTable[Name], $A8
)</f>
        <v>0</v>
      </c>
      <c r="E8">
        <f t="shared" si="0"/>
        <v>0</v>
      </c>
    </row>
    <row r="9" spans="1:9">
      <c r="A9" t="s">
        <v>414</v>
      </c>
      <c r="B9" t="s">
        <v>415</v>
      </c>
      <c r="C9">
        <f>SUMIFS(
    TrackingTable[Amount],
    TrackingTable[Type], C$1,
    TrackingTable[Name], $A9
)</f>
        <v>0</v>
      </c>
      <c r="D9">
        <f>SUMIFS(
    TrackingTable[Amount],
    TrackingTable[Type], D$1,
    TrackingTable[Name], $A9
)</f>
        <v>0</v>
      </c>
      <c r="E9">
        <f t="shared" si="0"/>
        <v>0</v>
      </c>
    </row>
    <row r="10" spans="1:9">
      <c r="A10" t="s">
        <v>416</v>
      </c>
      <c r="B10" t="s">
        <v>417</v>
      </c>
      <c r="C10">
        <f>SUMIFS(
    TrackingTable[Amount],
    TrackingTable[Type], C$1,
    TrackingTable[Name], $A10
)</f>
        <v>0</v>
      </c>
      <c r="D10">
        <f>SUMIFS(
    TrackingTable[Amount],
    TrackingTable[Type], D$1,
    TrackingTable[Name], $A10
)</f>
        <v>0</v>
      </c>
      <c r="E10">
        <f t="shared" si="0"/>
        <v>0</v>
      </c>
    </row>
    <row r="11" spans="1:9">
      <c r="A11" t="s">
        <v>385</v>
      </c>
      <c r="B11" t="s">
        <v>417</v>
      </c>
      <c r="C11">
        <f>SUMIFS(
    TrackingTable[Amount],
    TrackingTable[Type], C$1,
    TrackingTable[Name], $A11
)</f>
        <v>0</v>
      </c>
      <c r="D11">
        <f>SUMIFS(
    TrackingTable[Amount],
    TrackingTable[Type], D$1,
    TrackingTable[Name], $A11
)</f>
        <v>4967.16</v>
      </c>
      <c r="E11">
        <f t="shared" si="0"/>
        <v>4967.16</v>
      </c>
    </row>
    <row r="12" spans="1:9">
      <c r="A12" t="s">
        <v>388</v>
      </c>
      <c r="B12" t="s">
        <v>417</v>
      </c>
      <c r="C12">
        <f>SUMIFS(
    TrackingTable[Amount],
    TrackingTable[Type], C$1,
    TrackingTable[Name], $A12
)</f>
        <v>24.97</v>
      </c>
      <c r="D12">
        <f>SUMIFS(
    TrackingTable[Amount],
    TrackingTable[Type], D$1,
    TrackingTable[Name], $A12
)</f>
        <v>0</v>
      </c>
      <c r="E12">
        <f t="shared" si="0"/>
        <v>-24.97</v>
      </c>
    </row>
    <row r="13" spans="1:9">
      <c r="C13">
        <f>SUMIFS(
    TrackingTable[Amount],
    TrackingTable[Type], C$1,
    TrackingTable[Name], $A13
)</f>
        <v>0</v>
      </c>
      <c r="D13">
        <f>SUMIFS(
    TrackingTable[Amount],
    TrackingTable[Type], D$1,
    TrackingTable[Name], $A13
)</f>
        <v>0</v>
      </c>
      <c r="E13">
        <f t="shared" si="0"/>
        <v>0</v>
      </c>
    </row>
    <row r="14" spans="1:9">
      <c r="C14">
        <f>SUMIFS(
    TrackingTable[Amount],
    TrackingTable[Type], C$1,
    TrackingTable[Name], $A14
)</f>
        <v>0</v>
      </c>
      <c r="D14">
        <f>SUMIFS(
    TrackingTable[Amount],
    TrackingTable[Type], D$1,
    TrackingTable[Name], $A14
)</f>
        <v>0</v>
      </c>
      <c r="E14">
        <f t="shared" si="0"/>
        <v>0</v>
      </c>
    </row>
    <row r="15" spans="1:9">
      <c r="C15">
        <f>SUMIFS(
    TrackingTable[Amount],
    TrackingTable[Type], C$1,
    TrackingTable[Name], $A15
)</f>
        <v>0</v>
      </c>
      <c r="D15">
        <f>SUMIFS(
    TrackingTable[Amount],
    TrackingTable[Type], D$1,
    TrackingTable[Name], $A15
)</f>
        <v>0</v>
      </c>
      <c r="E15">
        <f t="shared" si="0"/>
        <v>0</v>
      </c>
    </row>
    <row r="16" spans="1:9">
      <c r="A16" t="s">
        <v>381</v>
      </c>
      <c r="B16" t="s">
        <v>418</v>
      </c>
      <c r="C16">
        <f>SUMIFS(
    TrackingTable[Amount],
    TrackingTable[Type], C$1,
    TrackingTable[Name], $A16
)</f>
        <v>0</v>
      </c>
      <c r="D16">
        <f>SUMIFS(
    TrackingTable[Amount],
    TrackingTable[Type], D$1,
    TrackingTable[Name], $A16
)</f>
        <v>0</v>
      </c>
      <c r="E16">
        <f t="shared" si="0"/>
        <v>0</v>
      </c>
    </row>
    <row r="17" spans="3:5">
      <c r="C17">
        <f>SUMIFS(
    TrackingTable[Amount],
    TrackingTable[Type], C$1,
    TrackingTable[Name], $A17
)</f>
        <v>0</v>
      </c>
      <c r="D17">
        <f>SUMIFS(
    TrackingTable[Amount],
    TrackingTable[Type], D$1,
    TrackingTable[Name], $A17
)</f>
        <v>0</v>
      </c>
      <c r="E17">
        <f t="shared" si="0"/>
        <v>0</v>
      </c>
    </row>
    <row r="18" spans="3:5">
      <c r="C18">
        <f>SUMIFS(
    TrackingTable[Amount],
    TrackingTable[Type], C$1,
    TrackingTable[Name], $A18
)</f>
        <v>0</v>
      </c>
      <c r="D18">
        <f>SUMIFS(
    TrackingTable[Amount],
    TrackingTable[Type], D$1,
    TrackingTable[Name], $A18
)</f>
        <v>0</v>
      </c>
      <c r="E18">
        <f t="shared" si="0"/>
        <v>0</v>
      </c>
    </row>
    <row r="19" spans="3:5">
      <c r="C19">
        <f>SUMIFS(
    TrackingTable[Amount],
    TrackingTable[Type], C$1,
    TrackingTable[Name], $A19
)</f>
        <v>0</v>
      </c>
      <c r="D19">
        <f>SUMIFS(
    TrackingTable[Amount],
    TrackingTable[Type], D$1,
    TrackingTable[Name], $A19
)</f>
        <v>0</v>
      </c>
      <c r="E19">
        <f t="shared" si="0"/>
        <v>0</v>
      </c>
    </row>
    <row r="20" spans="3:5">
      <c r="C20">
        <f>SUMIFS(
    TrackingTable[Amount],
    TrackingTable[Type], C$1,
    TrackingTable[Name], $A20
)</f>
        <v>0</v>
      </c>
      <c r="D20">
        <f>SUMIFS(
    TrackingTable[Amount],
    TrackingTable[Type], D$1,
    TrackingTable[Name], $A20
)</f>
        <v>0</v>
      </c>
      <c r="E20">
        <f t="shared" si="0"/>
        <v>0</v>
      </c>
    </row>
    <row r="21" spans="3:5">
      <c r="C21">
        <f>SUMIFS(
    TrackingTable[Amount],
    TrackingTable[Type], C$1,
    TrackingTable[Name], $A21
)</f>
        <v>0</v>
      </c>
      <c r="D21">
        <f>SUMIFS(
    TrackingTable[Amount],
    TrackingTable[Type], D$1,
    TrackingTable[Name], $A21
)</f>
        <v>0</v>
      </c>
      <c r="E21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A973-4683-49A0-A9B3-970D79142269}">
  <dimension ref="A1:L1"/>
  <sheetViews>
    <sheetView workbookViewId="0">
      <selection activeCell="H30" sqref="H30"/>
    </sheetView>
  </sheetViews>
  <sheetFormatPr defaultRowHeight="15"/>
  <cols>
    <col min="1" max="1" width="11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4ec324-7f8b-4817-8963-e485a1c8246b">
      <Terms xmlns="http://schemas.microsoft.com/office/infopath/2007/PartnerControls"/>
    </lcf76f155ced4ddcb4097134ff3c332f>
    <TaxCatchAll xmlns="93d7142d-6220-43f9-a7d6-3736e306199e" xsi:nil="true"/>
    <README xmlns="004ec324-7f8b-4817-8963-e485a1c824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F0D73B9F5E945AEB1AFCD9396CD4E" ma:contentTypeVersion="21" ma:contentTypeDescription="Create a new document." ma:contentTypeScope="" ma:versionID="914a098b295ae3d48f4db48dca18f507">
  <xsd:schema xmlns:xsd="http://www.w3.org/2001/XMLSchema" xmlns:xs="http://www.w3.org/2001/XMLSchema" xmlns:p="http://schemas.microsoft.com/office/2006/metadata/properties" xmlns:ns2="004ec324-7f8b-4817-8963-e485a1c8246b" xmlns:ns3="93d7142d-6220-43f9-a7d6-3736e306199e" targetNamespace="http://schemas.microsoft.com/office/2006/metadata/properties" ma:root="true" ma:fieldsID="aa7707a35fbc39692e3f8784a87ca2e9" ns2:_="" ns3:_="">
    <xsd:import namespace="004ec324-7f8b-4817-8963-e485a1c8246b"/>
    <xsd:import namespace="93d7142d-6220-43f9-a7d6-3736e30619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READ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ec324-7f8b-4817-8963-e485a1c82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ADME" ma:index="26" nillable="true" ma:displayName="README" ma:format="Dropdown" ma:internalName="README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7142d-6220-43f9-a7d6-3736e306199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d071477-b038-4d33-9123-dade1784562d}" ma:internalName="TaxCatchAll" ma:showField="CatchAllData" ma:web="93d7142d-6220-43f9-a7d6-3736e30619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C7A2C9-32F5-4C65-9D45-529D186CA3F3}"/>
</file>

<file path=customXml/itemProps2.xml><?xml version="1.0" encoding="utf-8"?>
<ds:datastoreItem xmlns:ds="http://schemas.openxmlformats.org/officeDocument/2006/customXml" ds:itemID="{C3B9697E-A9CE-4D98-963F-5DBC3D05C99A}"/>
</file>

<file path=customXml/itemProps3.xml><?xml version="1.0" encoding="utf-8"?>
<ds:datastoreItem xmlns:ds="http://schemas.openxmlformats.org/officeDocument/2006/customXml" ds:itemID="{184B553A-2291-461F-9552-82DFA9F06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Aaron E</cp:lastModifiedBy>
  <cp:revision/>
  <dcterms:created xsi:type="dcterms:W3CDTF">2025-08-25T15:39:34Z</dcterms:created>
  <dcterms:modified xsi:type="dcterms:W3CDTF">2026-08-06T21:28:58Z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0x010100C10F0D73B9F5E945AEB1AFCD9396CD4E</vt:lpwstr>
  </property>
  <property fmtid="{D5CDD505-2E9C-101B-9397-08002B2CF9AE}" pid="3" name="MediaServiceImageTags">
    <vt:lpwstr/>
  </property>
  <property fmtid="{D5CDD505-2E9C-101B-9397-08002B2CF9AE}" pid="4" name="CreatedDateTime_Client">
    <vt:filetime>2026-07-08T20:02:09Z</vt:filetime>
  </property>
  <property fmtid="{D5CDD505-2E9C-101B-9397-08002B2CF9AE}" pid="5" name="LastModifiedDateTime_Client">
    <vt:filetime>2026-08-06T19:43:58Z</vt:filetime>
  </property>
</Properties>
</file>